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ield Tracker" sheetId="2" state="visible" r:id="rId4"/>
    <sheet name="Phase Calendar" sheetId="3" state="visible" r:id="rId5"/>
    <sheet name="Advisor Queue" sheetId="4" state="visible" r:id="rId6"/>
    <sheet name="Quality Bar" sheetId="5" state="visible" r:id="rId7"/>
    <sheet name="Instructions" sheetId="6" state="visible" r:id="rId8"/>
  </sheets>
  <definedNames>
    <definedName function="false" hidden="true" localSheetId="3" name="_xlnm._FilterDatabase" vbProcedure="false">'Advisor Queue'!$A$4:$F$84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<sst xmlns="http://schemas.openxmlformats.org/spreadsheetml/2006/main" count="706" uniqueCount="229">
  <si>
    <t xml:space="preserve">Cultural Spec — Live Dashboard</t>
  </si>
  <si>
    <t xml:space="preserve">Auto-updates from Field Tracker. Don't edit cells with formulas — just change Status / Phase on the Field Tracker tab and these update.</t>
  </si>
  <si>
    <t xml:space="preserve">TOTAL FIELDS</t>
  </si>
  <si>
    <t xml:space="preserve">DONE</t>
  </si>
  <si>
    <t xml:space="preserve">ADVISOR NEEDED</t>
  </si>
  <si>
    <t xml:space="preserve">Overall Progress</t>
  </si>
  <si>
    <t xml:space="preserve">By Owner</t>
  </si>
  <si>
    <t xml:space="preserve">Owner</t>
  </si>
  <si>
    <t xml:space="preserve">Total</t>
  </si>
  <si>
    <t xml:space="preserve">Done</t>
  </si>
  <si>
    <t xml:space="preserve">In Progress</t>
  </si>
  <si>
    <t xml:space="preserve">Advisor</t>
  </si>
  <si>
    <t xml:space="preserve">% Complete</t>
  </si>
  <si>
    <t xml:space="preserve">Hisham</t>
  </si>
  <si>
    <t xml:space="preserve">Ohoud</t>
  </si>
  <si>
    <t xml:space="preserve">Nada</t>
  </si>
  <si>
    <t xml:space="preserve">Kamal</t>
  </si>
  <si>
    <t xml:space="preserve">By Phase</t>
  </si>
  <si>
    <t xml:space="preserve">Phase</t>
  </si>
  <si>
    <t xml:space="preserve">Count</t>
  </si>
  <si>
    <t xml:space="preserve">% of Total</t>
  </si>
  <si>
    <t xml:space="preserve">1 Drafting</t>
  </si>
  <si>
    <t xml:space="preserve">2 Cross-Review</t>
  </si>
  <si>
    <t xml:space="preserve">3 Integration</t>
  </si>
  <si>
    <t xml:space="preserve">4 Advisor</t>
  </si>
  <si>
    <t xml:space="preserve">5 YAML Conversion</t>
  </si>
  <si>
    <t xml:space="preserve">By Status</t>
  </si>
  <si>
    <t xml:space="preserve">Status</t>
  </si>
  <si>
    <t xml:space="preserve">Not Started</t>
  </si>
  <si>
    <t xml:space="preserve">Drafting</t>
  </si>
  <si>
    <t xml:space="preserve">Self-Review</t>
  </si>
  <si>
    <t xml:space="preserve">Cross-Review</t>
  </si>
  <si>
    <t xml:space="preserve">Integration</t>
  </si>
  <si>
    <t xml:space="preserve">Advisor Needed</t>
  </si>
  <si>
    <t xml:space="preserve">Saudi Cultural Specification — 80-Field Tracker</t>
  </si>
  <si>
    <t xml:space="preserve">Lead: Mohammed Rabie  ·  Target ship: 5 weeks from kickoff  ·  Field names are starting points — rename, merge, or split as the team learns</t>
  </si>
  <si>
    <t xml:space="preserve">#</t>
  </si>
  <si>
    <t xml:space="preserve">Topic Area</t>
  </si>
  <si>
    <t xml:space="preserve">Field Name (suggested — adapt freely)</t>
  </si>
  <si>
    <t xml:space="preserve">Quality Gate</t>
  </si>
  <si>
    <t xml:space="preserve">Confidence</t>
  </si>
  <si>
    <t xml:space="preserve">Notes / Blockers</t>
  </si>
  <si>
    <t xml:space="preserve">Wardrobe</t>
  </si>
  <si>
    <t xml:space="preserve">Thobe variants by setting (work, majlis, mosque, wedding, beach)</t>
  </si>
  <si>
    <t xml:space="preserve">Pending</t>
  </si>
  <si>
    <t xml:space="preserve">experimental</t>
  </si>
  <si>
    <t xml:space="preserve">Abaya conventions by brand tier and setting</t>
  </si>
  <si>
    <t xml:space="preserve">Bisht rules — when worn, how draped, who wears it</t>
  </si>
  <si>
    <t xml:space="preserve">Ghutra and shemagh styling (red vs white, occasions)</t>
  </si>
  <si>
    <t xml:space="preserve">Footwear conventions and forbidden styles</t>
  </si>
  <si>
    <t xml:space="preserve">Accessories — authentic markers vs. costume markers</t>
  </si>
  <si>
    <t xml:space="preserve">Wardrobe restrictions by occasion (Ramadan, Eid, funeral)</t>
  </si>
  <si>
    <t xml:space="preserve">Gestures</t>
  </si>
  <si>
    <t xml:space="preserve">Right-hand rules (serving food, handing items, eating)</t>
  </si>
  <si>
    <t xml:space="preserve">Forbidden gestures and what they signal</t>
  </si>
  <si>
    <t xml:space="preserve">Eye contact norms in mixed-gender settings</t>
  </si>
  <si>
    <t xml:space="preserve">Hand positions in formal photos</t>
  </si>
  <si>
    <t xml:space="preserve">Body posture conventions (sitting, standing, walking)</t>
  </si>
  <si>
    <t xml:space="preserve">Architecture</t>
  </si>
  <si>
    <t xml:space="preserve">Real Saudi home interior vs. Hollywood Middle Eastern</t>
  </si>
  <si>
    <t xml:space="preserve">Majlis configurations and seating conventions</t>
  </si>
  <si>
    <t xml:space="preserve">Kitchen and living room conventions</t>
  </si>
  <si>
    <t xml:space="preserve">Regional differences (Riyadh, Jeddah, Eastern Province)</t>
  </si>
  <si>
    <t xml:space="preserve">Exterior architecture by region</t>
  </si>
  <si>
    <t xml:space="preserve">Props</t>
  </si>
  <si>
    <t xml:space="preserve">Coffee pot rituals (dallah, finjan, serving order)</t>
  </si>
  <si>
    <t xml:space="preserve">Incense conventions (bukhoor, oud, occasions)</t>
  </si>
  <si>
    <t xml:space="preserve">Prayer items handling rules</t>
  </si>
  <si>
    <t xml:space="preserve">Food serving conventions (communal plates, dates)</t>
  </si>
  <si>
    <t xml:space="preserve">Photography</t>
  </si>
  <si>
    <t xml:space="preserve">Angles that work vs. read as foreign</t>
  </si>
  <si>
    <t xml:space="preserve">Group photo arrangements</t>
  </si>
  <si>
    <t xml:space="preserve">Women framing by brand tier</t>
  </si>
  <si>
    <t xml:space="preserve">Men framing conventions</t>
  </si>
  <si>
    <t xml:space="preserve">Register</t>
  </si>
  <si>
    <t xml:space="preserve">When to use Modern Standard Arabic (MSA)</t>
  </si>
  <si>
    <t xml:space="preserve">When to use Najdi dialect</t>
  </si>
  <si>
    <t xml:space="preserve">When to use Hejazi dialect</t>
  </si>
  <si>
    <t xml:space="preserve">When to mix Arabic and English / when no Arabic</t>
  </si>
  <si>
    <t xml:space="preserve">Forbidden</t>
  </si>
  <si>
    <t xml:space="preserve">Translated-sounding phrases to avoid</t>
  </si>
  <si>
    <t xml:space="preserve">Levantine drift (sounding Lebanese/Syrian when should be Saudi)</t>
  </si>
  <si>
    <t xml:space="preserve">English calques to avoid in Arabic copy</t>
  </si>
  <si>
    <t xml:space="preserve">Anglicisms that read as inauthentic</t>
  </si>
  <si>
    <t xml:space="preserve">Religious-overuse phrases (heavy-handed invocations)</t>
  </si>
  <si>
    <t xml:space="preserve">Occasions</t>
  </si>
  <si>
    <t xml:space="preserve">Ramadan language by phase (early, middle, last 10)</t>
  </si>
  <si>
    <t xml:space="preserve">Eid Al-Fitr vs Eid Al-Adha registers</t>
  </si>
  <si>
    <t xml:space="preserve">National Day vs Founding Day language</t>
  </si>
  <si>
    <t xml:space="preserve">Condolence and tragedy registers</t>
  </si>
  <si>
    <t xml:space="preserve">Celebration and milestone registers</t>
  </si>
  <si>
    <t xml:space="preserve">Brand voice</t>
  </si>
  <si>
    <t xml:space="preserve">Najdi brand voice — when and how</t>
  </si>
  <si>
    <t xml:space="preserve">Hejazi brand voice — when and how</t>
  </si>
  <si>
    <t xml:space="preserve">Neutral brand voice — when and how</t>
  </si>
  <si>
    <t xml:space="preserve">Dialect</t>
  </si>
  <si>
    <t xml:space="preserve">Najdi vs Hejazi vocabulary differences</t>
  </si>
  <si>
    <t xml:space="preserve">Eastern dialect — brand-relevant specifics</t>
  </si>
  <si>
    <t xml:space="preserve">Southern dialect — brand-relevant specifics</t>
  </si>
  <si>
    <t xml:space="preserve">Cross-dialect vocabulary with brand implications</t>
  </si>
  <si>
    <t xml:space="preserve">Religious</t>
  </si>
  <si>
    <t xml:space="preserve">Quranic reference handling with reverence</t>
  </si>
  <si>
    <t xml:space="preserve">Islamic invocation usage (Bismillah, MashaAllah)</t>
  </si>
  <si>
    <t xml:space="preserve">Forbidden words</t>
  </si>
  <si>
    <t xml:space="preserve">Twitter-drag word list (specific terms to avoid)</t>
  </si>
  <si>
    <t xml:space="preserve">Politically sensitive terms and avoidance</t>
  </si>
  <si>
    <t xml:space="preserve">Egyptian</t>
  </si>
  <si>
    <t xml:space="preserve">Egyptian creative tropes Saudi audiences reject</t>
  </si>
  <si>
    <t xml:space="preserve">Levantine</t>
  </si>
  <si>
    <t xml:space="preserve">Levantine creative tropes Saudi audiences reject</t>
  </si>
  <si>
    <t xml:space="preserve">Gulf shared</t>
  </si>
  <si>
    <t xml:space="preserve">Pan-Gulf conventions vs. specifically Saudi</t>
  </si>
  <si>
    <t xml:space="preserve">Humor</t>
  </si>
  <si>
    <t xml:space="preserve">Pan-Arab humor that doesn't land in Saudi</t>
  </si>
  <si>
    <t xml:space="preserve">Gender</t>
  </si>
  <si>
    <t xml:space="preserve">Gender representation: Saudi vs. UAE</t>
  </si>
  <si>
    <t xml:space="preserve">Gender representation: Saudi vs. Egypt</t>
  </si>
  <si>
    <t xml:space="preserve">Gender representation: Saudi vs. Lebanon</t>
  </si>
  <si>
    <t xml:space="preserve">Audio</t>
  </si>
  <si>
    <t xml:space="preserve">Music conventions: Saudi vs. pan-Arab</t>
  </si>
  <si>
    <t xml:space="preserve">Audio/voiceover register choices</t>
  </si>
  <si>
    <t xml:space="preserve">Western tropes</t>
  </si>
  <si>
    <t xml:space="preserve">Imported Western tropes saturated in MENA</t>
  </si>
  <si>
    <t xml:space="preserve">Representation</t>
  </si>
  <si>
    <t xml:space="preserve">Romance and intimacy representation across MENA</t>
  </si>
  <si>
    <t xml:space="preserve">Family representation across MENA</t>
  </si>
  <si>
    <t xml:space="preserve">Comedy conventions across MENA</t>
  </si>
  <si>
    <t xml:space="preserve">Authority figure representation</t>
  </si>
  <si>
    <t xml:space="preserve">Youth and Gen-Z representation</t>
  </si>
  <si>
    <t xml:space="preserve">Aesthetics</t>
  </si>
  <si>
    <t xml:space="preserve">Visual aesthetics: Saudi vs. UAE premium</t>
  </si>
  <si>
    <t xml:space="preserve">Visual aesthetics: Saudi vs. Egypt</t>
  </si>
  <si>
    <t xml:space="preserve">Color</t>
  </si>
  <si>
    <t xml:space="preserve">Color associations and connotations in Saudi context</t>
  </si>
  <si>
    <t xml:space="preserve">Storytelling</t>
  </si>
  <si>
    <t xml:space="preserve">Storytelling arc preferences — pacing and beats</t>
  </si>
  <si>
    <t xml:space="preserve">Reference</t>
  </si>
  <si>
    <t xml:space="preserve">Cultural reference layering — sophisticated vs. trying-too-hard</t>
  </si>
  <si>
    <t xml:space="preserve">Archetypes</t>
  </si>
  <si>
    <t xml:space="preserve">12 archetypes — Saudi calibration overview</t>
  </si>
  <si>
    <t xml:space="preserve">Hero archetype in Saudi context</t>
  </si>
  <si>
    <t xml:space="preserve">Sage archetype in Saudi context</t>
  </si>
  <si>
    <t xml:space="preserve">Lover archetype in Saudi context (sensitive)</t>
  </si>
  <si>
    <t xml:space="preserve">Outlaw / Rebel archetype in Saudi context (sensitive)</t>
  </si>
  <si>
    <t xml:space="preserve">Pacing</t>
  </si>
  <si>
    <t xml:space="preserve">Resolution vs. ambiguity preferences</t>
  </si>
  <si>
    <t xml:space="preserve">Edit pacing for short-form vs. long-form</t>
  </si>
  <si>
    <t xml:space="preserve">Premium</t>
  </si>
  <si>
    <t xml:space="preserve">Premium markers across MENA</t>
  </si>
  <si>
    <t xml:space="preserve">Mid-tier markers across MENA</t>
  </si>
  <si>
    <t xml:space="preserve">Mistakes</t>
  </si>
  <si>
    <t xml:space="preserve">Common Arab agency mistakes in Saudi</t>
  </si>
  <si>
    <t xml:space="preserve">5-Week Phase Calendar</t>
  </si>
  <si>
    <t xml:space="preserve">Set the kickoff date in B3 and the weekly milestones auto-calculate.</t>
  </si>
  <si>
    <t xml:space="preserve">Kickoff date:</t>
  </si>
  <si>
    <t xml:space="preserve">2026-05-19</t>
  </si>
  <si>
    <t xml:space="preserve">Week</t>
  </si>
  <si>
    <t xml:space="preserve">Dates</t>
  </si>
  <si>
    <t xml:space="preserve">Milestones</t>
  </si>
  <si>
    <t xml:space="preserve">Week 1</t>
  </si>
  <si>
    <t xml:space="preserve">Individual drafting. 6 fields/person/day. Plain prose, not YAML.</t>
  </si>
  <si>
    <t xml:space="preserve">Week 2</t>
  </si>
  <si>
    <t xml:space="preserve">Each person reads 2 others. Flags contradictions, vagueness, gaps. Rabie collates.</t>
  </si>
  <si>
    <t xml:space="preserve">Week 3</t>
  </si>
  <si>
    <t xml:space="preserve">Half-day session (all 5). Resolve contradictions. Identify advisor-needed fields.</t>
  </si>
  <si>
    <t xml:space="preserve">Week 4</t>
  </si>
  <si>
    <t xml:space="preserve">Cultural Advisor session. Structured interview on specific fields. Rabie hosts.</t>
  </si>
  <si>
    <t xml:space="preserve">Week 5</t>
  </si>
  <si>
    <t xml:space="preserve">Rabie converts to YAML. Final read-through. Ship as v1 to repo.</t>
  </si>
  <si>
    <t xml:space="preserve">Cultural Advisor Queue</t>
  </si>
  <si>
    <t xml:space="preserve">Fields flagged Advisor Needed in the Field Tracker show here. Filter by clicking the header arrows.</t>
  </si>
  <si>
    <t xml:space="preserve">Topic</t>
  </si>
  <si>
    <t xml:space="preserve">Field Name</t>
  </si>
  <si>
    <t xml:space="preserve">Status (for filter)</t>
  </si>
  <si>
    <t xml:space="preserve">TIP: Click the arrow in the 'Status (for filter)' header above and select 'Advisor Needed' to see only those rows.</t>
  </si>
  <si>
    <t xml:space="preserve">Quality Bar — Two Tests Every Field Must Pass</t>
  </si>
  <si>
    <t xml:space="preserve">Before marking a field Done, verify it passes both. If either fails, send back for revision.</t>
  </si>
  <si>
    <t xml:space="preserve">Test 1 — Specificity</t>
  </si>
  <si>
    <t xml:space="preserve">Could this field be written about any Arab country, or is it specifically Saudi?</t>
  </si>
  <si>
    <t xml:space="preserve">If it could apply anywhere → not done. Send back. Sharpen with Saudi specifics: place names, brand names, dialect words, occasions, gestures, rules.</t>
  </si>
  <si>
    <t xml:space="preserve">Test 2 — Competitor</t>
  </si>
  <si>
    <t xml:space="preserve">Could a senior creative at a generic agency write this field by Googling for 30 minutes?</t>
  </si>
  <si>
    <t xml:space="preserve">If yes → not deep enough. Add the specific knowledge that you know and Google does not — set knowledge, client war stories, on-the-ground experience, named examples.</t>
  </si>
  <si>
    <t xml:space="preserve">Verdict</t>
  </si>
  <si>
    <t xml:space="preserve">If a field passes both tests, it ships. Set Quality Gate = Passed Both Tests on the Field Tracker.</t>
  </si>
  <si>
    <t xml:space="preserve">Field Format — How to Write Each Entry</t>
  </si>
  <si>
    <t xml:space="preserve">FIELD NAME</t>
  </si>
  <si>
    <t xml:space="preserve">(one line)</t>
  </si>
  <si>
    <t xml:space="preserve">WHAT IT IS</t>
  </si>
  <si>
    <t xml:space="preserve">(1–3 sentences plain English)</t>
  </si>
  <si>
    <t xml:space="preserve">THE RULE</t>
  </si>
  <si>
    <t xml:space="preserve">(the specific rule or convention)</t>
  </si>
  <si>
    <t xml:space="preserve">WHY IT MATTERS</t>
  </si>
  <si>
    <t xml:space="preserve">(1 sentence about what breaks if this is wrong)</t>
  </si>
  <si>
    <t xml:space="preserve">REAL EXAMPLES</t>
  </si>
  <si>
    <t xml:space="preserve">(2–3 concrete examples — campaigns, brands, situations)</t>
  </si>
  <si>
    <t xml:space="preserve">COMMON MISTAKE</t>
  </si>
  <si>
    <t xml:space="preserve">(the specific mistake competitors make on this field)</t>
  </si>
  <si>
    <t xml:space="preserve">How to use this tracker</t>
  </si>
  <si>
    <t xml:space="preserve">FOR THE TEAM</t>
  </si>
  <si>
    <t xml:space="preserve">1.</t>
  </si>
  <si>
    <t xml:space="preserve">Go to the Field Tracker tab. Each row is one field. Filter by your own name (Hisham, Ohoud, Nada, Kamal) in the Owner column to see only yours.</t>
  </si>
  <si>
    <t xml:space="preserve">2.</t>
  </si>
  <si>
    <t xml:space="preserve">Change Status as you progress: Not Started → Drafting → Self-Review → Cross-Review → Done. Each row will color-code itself.</t>
  </si>
  <si>
    <t xml:space="preserve">3.</t>
  </si>
  <si>
    <t xml:space="preserve">If a field is genuinely outside your expertise, set Status = Advisor Needed. Rabie will queue it for the Cultural Advisor session.</t>
  </si>
  <si>
    <t xml:space="preserve">4.</t>
  </si>
  <si>
    <t xml:space="preserve">Write your actual content in a separate Google Doc, not in this sheet. This sheet tracks progress. The Doc holds the work.</t>
  </si>
  <si>
    <t xml:space="preserve">5.</t>
  </si>
  <si>
    <t xml:space="preserve">Use the Notes / Blockers column for anything Rabie should know: contradictions, dependencies, sources you need.</t>
  </si>
  <si>
    <t xml:space="preserve">FOR RABIE</t>
  </si>
  <si>
    <t xml:space="preserve">·</t>
  </si>
  <si>
    <t xml:space="preserve">The Dashboard tab updates live as the team changes statuses. Check it daily during Weeks 1–2.</t>
  </si>
  <si>
    <t xml:space="preserve">The Phase Calendar tab shows the 5-week timeline. Set the kickoff date in B3 and dates auto-calculate.</t>
  </si>
  <si>
    <t xml:space="preserve">The Advisor Queue tab lists fields that need outside expertise — filter the Status column to 'Advisor Needed' to see only those rows. Use this list to brief the Cultural Advisor in Week 4.</t>
  </si>
  <si>
    <t xml:space="preserve">The Quality Bar tab is the two-test checklist. Verify every field passes both before marking Done.</t>
  </si>
  <si>
    <t xml:space="preserve">Field names in column D are STARTING POINTS. Encourage the team to rename, merge, or split as they learn what the spec actually needs.</t>
  </si>
  <si>
    <t xml:space="preserve">THE HARD RULE</t>
  </si>
  <si>
    <t xml:space="preserve">⚠</t>
  </si>
  <si>
    <t xml:space="preserve">No AI use for drafting fields. See the Project Brief. The only allowed AI use is Arabic spell-check after writing.</t>
  </si>
  <si>
    <t xml:space="preserve">If a field is filled in by AI, the moat collapses silently. Read the brief. Hold the line.</t>
  </si>
  <si>
    <t xml:space="preserve">STATUS LEGEND</t>
  </si>
  <si>
    <t xml:space="preserve">Field hasn't been touched yet.</t>
  </si>
  <si>
    <t xml:space="preserve">Owner is actively writing the first draft.</t>
  </si>
  <si>
    <t xml:space="preserve">Owner is reviewing their own draft before sharing.</t>
  </si>
  <si>
    <t xml:space="preserve">Two other team members are reading and flagging.</t>
  </si>
  <si>
    <t xml:space="preserve">Came up in the integration session — being resolved.</t>
  </si>
  <si>
    <t xml:space="preserve">Team can't confidently fill this — Cultural Advisor required.</t>
  </si>
  <si>
    <t xml:space="preserve">Passed both Quality Bar tests. Ready for YAML conversion.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</si>
</sst>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44"/>
      <color rgb="FF0F172A"/>
      <name val="Arial"/>
      <family val="0"/>
      <charset val="1"/>
    </font>
    <font>
      <b val="true"/>
      <sz val="44"/>
      <color rgb="FF166534"/>
      <name val="Arial"/>
      <family val="0"/>
      <charset val="1"/>
    </font>
    <font>
      <b val="true"/>
      <sz val="44"/>
      <color rgb="FF6B21A8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6B21A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0F172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10"/>
      <color rgb="FF6B21A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3341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F1F5F9"/>
      </patternFill>
    </fill>
    <fill>
      <patternFill patternType="solid">
        <fgColor rgb="FFF3E8FF"/>
        <bgColor rgb="FFFCE7F3"/>
      </patternFill>
    </fill>
    <fill>
      <patternFill patternType="solid">
        <fgColor rgb="FF2C3E50"/>
        <bgColor rgb="FF334155"/>
      </patternFill>
    </fill>
    <fill>
      <patternFill patternType="solid">
        <fgColor rgb="FFFEF3C7"/>
        <bgColor rgb="FFFFFFE0"/>
      </patternFill>
    </fill>
    <fill>
      <patternFill patternType="solid">
        <fgColor rgb="FFDBEAFE"/>
        <bgColor rgb="FFF3E8FF"/>
      </patternFill>
    </fill>
    <fill>
      <patternFill patternType="solid">
        <fgColor rgb="FFFCE7F3"/>
        <bgColor rgb="FFF3E8FF"/>
      </patternFill>
    </fill>
    <fill>
      <patternFill patternType="solid">
        <fgColor rgb="FFF1F5F9"/>
        <bgColor rgb="FFF8FAFC"/>
      </patternFill>
    </fill>
    <fill>
      <patternFill patternType="solid">
        <fgColor rgb="FFFFFFE0"/>
        <bgColor rgb="FFFFFFFF"/>
      </patternFill>
    </fill>
    <fill>
      <patternFill patternType="solid">
        <fgColor rgb="FF6B21A8"/>
        <bgColor rgb="FF800080"/>
      </patternFill>
    </fill>
    <fill>
      <patternFill patternType="solid">
        <fgColor rgb="FF166534"/>
        <bgColor rgb="FF2C3E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475569"/>
        <sz val="10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1E3A8A"/>
        <sz val="10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78350F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A3412"/>
        <sz val="10"/>
      </font>
      <fill>
        <patternFill>
          <bgColor rgb="FFFED7AA"/>
        </patternFill>
      </fill>
    </dxf>
    <dxf>
      <font>
        <name val="Arial"/>
        <charset val="1"/>
        <family val="0"/>
        <b val="1"/>
        <color rgb="FF6B21A8"/>
        <sz val="10"/>
      </font>
      <fill>
        <patternFill>
          <bgColor rgb="FFF3E8FF"/>
        </patternFill>
      </fill>
    </dxf>
    <dxf>
      <font>
        <name val="Arial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color rgb="FF9A3412"/>
        <sz val="10"/>
      </font>
      <fill>
        <patternFill>
          <bgColor rgb="FFFED7AA"/>
        </patternFill>
      </fill>
    </dxf>
    <dxf>
      <font>
        <name val="Arial"/>
        <charset val="1"/>
        <family val="0"/>
        <color rgb="FF475569"/>
        <sz val="10"/>
      </font>
      <fill>
        <patternFill>
          <bgColor rgb="FFF1F5F9"/>
        </patternFill>
      </fill>
    </dxf>
    <dxf>
      <font>
        <name val="Arial"/>
        <charset val="1"/>
        <family val="0"/>
        <color rgb="FF78350F"/>
        <sz val="10"/>
      </font>
      <fill>
        <patternFill>
          <bgColor rgb="FFFEF3C7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6B21A8"/>
      <rgbColor rgb="FF008080"/>
      <rgbColor rgb="FFFEE2E2"/>
      <rgbColor rgb="FF808080"/>
      <rgbColor rgb="FF9999FF"/>
      <rgbColor rgb="FF78350F"/>
      <rgbColor rgb="FFFFFFE0"/>
      <rgbColor rgb="FFDCFCE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EF3C7"/>
      <rgbColor rgb="FFF3E8FF"/>
      <rgbColor rgb="FFFCE7F3"/>
      <rgbColor rgb="FFF8FAFC"/>
      <rgbColor rgb="FFFED7A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475569"/>
      <rgbColor rgb="FF339966"/>
      <rgbColor rgb="FF0F172A"/>
      <rgbColor rgb="FF334155"/>
      <rgbColor rgb="FF9A3412"/>
      <rgbColor rgb="FF993366"/>
      <rgbColor rgb="FF1E3A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6" min="6" style="0" width="1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n">
        <f aca="false">COUNTA('Field Tracker'!D5:D84)</f>
        <v>80</v>
      </c>
      <c r="B4" s="3"/>
      <c r="C4" s="4" t="n">
        <f aca="false">COUNTIF('Field Tracker'!E5:E84,"Done")</f>
        <v>0</v>
      </c>
      <c r="D4" s="4"/>
      <c r="E4" s="5" t="n">
        <f aca="false">COUNTIF('Field Tracker'!E5:E84,"Advisor Needed")</f>
        <v>0</v>
      </c>
      <c r="F4" s="5"/>
    </row>
    <row r="5" customFormat="false" ht="15" hidden="false" customHeight="false" outlineLevel="0" collapsed="false">
      <c r="A5" s="3"/>
      <c r="B5" s="3"/>
      <c r="C5" s="4"/>
      <c r="D5" s="4"/>
      <c r="E5" s="5"/>
      <c r="F5" s="5"/>
    </row>
    <row r="6" customFormat="false" ht="15" hidden="false" customHeight="false" outlineLevel="0" collapsed="false">
      <c r="A6" s="3"/>
      <c r="B6" s="3"/>
      <c r="C6" s="4"/>
      <c r="D6" s="4"/>
      <c r="E6" s="5"/>
      <c r="F6" s="5"/>
    </row>
    <row r="7" customFormat="false" ht="15" hidden="false" customHeight="false" outlineLevel="0" collapsed="false">
      <c r="A7" s="6" t="s">
        <v>2</v>
      </c>
      <c r="B7" s="6"/>
      <c r="C7" s="7" t="s">
        <v>3</v>
      </c>
      <c r="D7" s="7"/>
      <c r="E7" s="8" t="s">
        <v>4</v>
      </c>
      <c r="F7" s="8"/>
    </row>
    <row r="9" customFormat="false" ht="15" hidden="false" customHeight="false" outlineLevel="0" collapsed="false">
      <c r="A9" s="9" t="s">
        <v>5</v>
      </c>
      <c r="B9" s="9"/>
      <c r="C9" s="9"/>
      <c r="D9" s="9"/>
      <c r="E9" s="9"/>
      <c r="F9" s="9"/>
    </row>
    <row r="10" customFormat="false" ht="24.45" hidden="false" customHeight="false" outlineLevel="0" collapsed="false">
      <c r="A10" s="10" t="n">
        <f aca="false">COUNTIF('Field Tracker'!E5:E84,"Done")/COUNTA('Field Tracker'!D5:D84)</f>
        <v>0</v>
      </c>
      <c r="B10" s="2" t="str">
        <f aca="false">"of 80 fields complete · "&amp;COUNTIF('Field Tracker'!E5:E84,"Done")&amp;" done · "&amp;(80-COUNTIF('Field Tracker'!E5:E84,"Done"))&amp;" remaining"</f>
        <v>of 80 fields complete · 0 done · 80 remaining</v>
      </c>
      <c r="C10" s="2"/>
      <c r="D10" s="2"/>
      <c r="E10" s="2"/>
      <c r="F10" s="2"/>
    </row>
    <row r="12" customFormat="false" ht="25.5" hidden="false" customHeight="true" outlineLevel="0" collapsed="false">
      <c r="A12" s="11" t="s">
        <v>6</v>
      </c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2" t="s">
        <v>7</v>
      </c>
      <c r="B13" s="12" t="s">
        <v>8</v>
      </c>
      <c r="C13" s="12" t="s">
        <v>9</v>
      </c>
      <c r="D13" s="12" t="s">
        <v>10</v>
      </c>
      <c r="E13" s="12" t="s">
        <v>11</v>
      </c>
      <c r="F13" s="12" t="s">
        <v>12</v>
      </c>
    </row>
    <row r="14" customFormat="false" ht="15" hidden="false" customHeight="false" outlineLevel="0" collapsed="false">
      <c r="A14" s="13" t="s">
        <v>13</v>
      </c>
      <c r="B14" s="14" t="n">
        <f aca="false">COUNTIF('Field Tracker'!B5:B84,"Hisham")</f>
        <v>25</v>
      </c>
      <c r="C14" s="14" t="n">
        <f aca="false">COUNTIFS('Field Tracker'!B5:B84,"Hisham",'Field Tracker'!E5:E84,"Done")</f>
        <v>0</v>
      </c>
      <c r="D14" s="14" t="n">
        <f aca="false">COUNTIFS('Field Tracker'!B5:B84,"Hisham",'Field Tracker'!E5:E84,"&lt;&gt;Done",'Field Tracker'!E5:E84,"&lt;&gt;Not Started")</f>
        <v>0</v>
      </c>
      <c r="E14" s="14" t="n">
        <f aca="false">COUNTIFS('Field Tracker'!B5:B84,"Hisham",'Field Tracker'!E5:E84,"Advisor Needed")</f>
        <v>0</v>
      </c>
      <c r="F14" s="15" t="n">
        <f aca="false">IFERROR(C14/B14,0)</f>
        <v>0</v>
      </c>
    </row>
    <row r="15" customFormat="false" ht="15" hidden="false" customHeight="false" outlineLevel="0" collapsed="false">
      <c r="A15" s="16" t="s">
        <v>14</v>
      </c>
      <c r="B15" s="14" t="n">
        <f aca="false">COUNTIF('Field Tracker'!B5:B84,"Ohoud")</f>
        <v>25</v>
      </c>
      <c r="C15" s="14" t="n">
        <f aca="false">COUNTIFS('Field Tracker'!B5:B84,"Ohoud",'Field Tracker'!E5:E84,"Done")</f>
        <v>0</v>
      </c>
      <c r="D15" s="14" t="n">
        <f aca="false">COUNTIFS('Field Tracker'!B5:B84,"Ohoud",'Field Tracker'!E5:E84,"&lt;&gt;Done",'Field Tracker'!E5:E84,"&lt;&gt;Not Started")</f>
        <v>0</v>
      </c>
      <c r="E15" s="14" t="n">
        <f aca="false">COUNTIFS('Field Tracker'!B5:B84,"Ohoud",'Field Tracker'!E5:E84,"Advisor Needed")</f>
        <v>0</v>
      </c>
      <c r="F15" s="15" t="n">
        <f aca="false">IFERROR(C15/B15,0)</f>
        <v>0</v>
      </c>
    </row>
    <row r="16" customFormat="false" ht="15" hidden="false" customHeight="false" outlineLevel="0" collapsed="false">
      <c r="A16" s="17" t="s">
        <v>15</v>
      </c>
      <c r="B16" s="14" t="n">
        <f aca="false">COUNTIF('Field Tracker'!B5:B84,"Nada")</f>
        <v>15</v>
      </c>
      <c r="C16" s="14" t="n">
        <f aca="false">COUNTIFS('Field Tracker'!B5:B84,"Nada",'Field Tracker'!E5:E84,"Done")</f>
        <v>0</v>
      </c>
      <c r="D16" s="14" t="n">
        <f aca="false">COUNTIFS('Field Tracker'!B5:B84,"Nada",'Field Tracker'!E5:E84,"&lt;&gt;Done",'Field Tracker'!E5:E84,"&lt;&gt;Not Started")</f>
        <v>0</v>
      </c>
      <c r="E16" s="14" t="n">
        <f aca="false">COUNTIFS('Field Tracker'!B5:B84,"Nada",'Field Tracker'!E5:E84,"Advisor Needed")</f>
        <v>0</v>
      </c>
      <c r="F16" s="15" t="n">
        <f aca="false">IFERROR(C16/B16,0)</f>
        <v>0</v>
      </c>
    </row>
    <row r="17" customFormat="false" ht="15" hidden="false" customHeight="false" outlineLevel="0" collapsed="false">
      <c r="A17" s="18" t="s">
        <v>16</v>
      </c>
      <c r="B17" s="14" t="n">
        <f aca="false">COUNTIF('Field Tracker'!B5:B84,"Kamal")</f>
        <v>15</v>
      </c>
      <c r="C17" s="14" t="n">
        <f aca="false">COUNTIFS('Field Tracker'!B5:B84,"Kamal",'Field Tracker'!E5:E84,"Done")</f>
        <v>0</v>
      </c>
      <c r="D17" s="14" t="n">
        <f aca="false">COUNTIFS('Field Tracker'!B5:B84,"Kamal",'Field Tracker'!E5:E84,"&lt;&gt;Done",'Field Tracker'!E5:E84,"&lt;&gt;Not Started")</f>
        <v>0</v>
      </c>
      <c r="E17" s="14" t="n">
        <f aca="false">COUNTIFS('Field Tracker'!B5:B84,"Kamal",'Field Tracker'!E5:E84,"Advisor Needed")</f>
        <v>0</v>
      </c>
      <c r="F17" s="15" t="n">
        <f aca="false">IFERROR(C17/B17,0)</f>
        <v>0</v>
      </c>
    </row>
    <row r="19" customFormat="false" ht="25.5" hidden="false" customHeight="true" outlineLevel="0" collapsed="false">
      <c r="A19" s="11" t="s">
        <v>17</v>
      </c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2" t="s">
        <v>18</v>
      </c>
      <c r="B20" s="12" t="s">
        <v>19</v>
      </c>
      <c r="C20" s="12" t="s">
        <v>20</v>
      </c>
    </row>
    <row r="21" customFormat="false" ht="15" hidden="false" customHeight="false" outlineLevel="0" collapsed="false">
      <c r="A21" s="19" t="s">
        <v>21</v>
      </c>
      <c r="B21" s="14" t="n">
        <f aca="false">COUNTIF('Field Tracker'!F5:F84,"1 Drafting")</f>
        <v>80</v>
      </c>
      <c r="C21" s="15" t="n">
        <f aca="false">B21/80</f>
        <v>1</v>
      </c>
    </row>
    <row r="22" customFormat="false" ht="15" hidden="false" customHeight="false" outlineLevel="0" collapsed="false">
      <c r="A22" s="19" t="s">
        <v>22</v>
      </c>
      <c r="B22" s="14" t="n">
        <f aca="false">COUNTIF('Field Tracker'!F5:F84,"2 Cross-Review")</f>
        <v>0</v>
      </c>
      <c r="C22" s="15" t="n">
        <f aca="false">B22/80</f>
        <v>0</v>
      </c>
    </row>
    <row r="23" customFormat="false" ht="15" hidden="false" customHeight="false" outlineLevel="0" collapsed="false">
      <c r="A23" s="19" t="s">
        <v>23</v>
      </c>
      <c r="B23" s="14" t="n">
        <f aca="false">COUNTIF('Field Tracker'!F5:F84,"3 Integration")</f>
        <v>0</v>
      </c>
      <c r="C23" s="15" t="n">
        <f aca="false">B23/80</f>
        <v>0</v>
      </c>
    </row>
    <row r="24" customFormat="false" ht="15" hidden="false" customHeight="false" outlineLevel="0" collapsed="false">
      <c r="A24" s="19" t="s">
        <v>24</v>
      </c>
      <c r="B24" s="14" t="n">
        <f aca="false">COUNTIF('Field Tracker'!F5:F84,"4 Advisor")</f>
        <v>0</v>
      </c>
      <c r="C24" s="15" t="n">
        <f aca="false">B24/80</f>
        <v>0</v>
      </c>
    </row>
    <row r="25" customFormat="false" ht="15" hidden="false" customHeight="false" outlineLevel="0" collapsed="false">
      <c r="A25" s="19" t="s">
        <v>25</v>
      </c>
      <c r="B25" s="14" t="n">
        <f aca="false">COUNTIF('Field Tracker'!F5:F84,"5 YAML Conversion")</f>
        <v>0</v>
      </c>
      <c r="C25" s="15" t="n">
        <f aca="false">B25/80</f>
        <v>0</v>
      </c>
    </row>
    <row r="27" customFormat="false" ht="25.5" hidden="false" customHeight="true" outlineLevel="0" collapsed="false">
      <c r="A27" s="11" t="s">
        <v>26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2" t="s">
        <v>27</v>
      </c>
      <c r="B28" s="12" t="s">
        <v>19</v>
      </c>
      <c r="C28" s="12" t="s">
        <v>20</v>
      </c>
    </row>
    <row r="29" customFormat="false" ht="15" hidden="false" customHeight="false" outlineLevel="0" collapsed="false">
      <c r="A29" s="19" t="s">
        <v>28</v>
      </c>
      <c r="B29" s="14" t="n">
        <f aca="false">COUNTIF('Field Tracker'!E5:E84,"Not Started")</f>
        <v>80</v>
      </c>
      <c r="C29" s="15" t="n">
        <f aca="false">B29/80</f>
        <v>1</v>
      </c>
    </row>
    <row r="30" customFormat="false" ht="15" hidden="false" customHeight="false" outlineLevel="0" collapsed="false">
      <c r="A30" s="19" t="s">
        <v>29</v>
      </c>
      <c r="B30" s="14" t="n">
        <f aca="false">COUNTIF('Field Tracker'!E5:E84,"Drafting")</f>
        <v>0</v>
      </c>
      <c r="C30" s="15" t="n">
        <f aca="false">B30/80</f>
        <v>0</v>
      </c>
    </row>
    <row r="31" customFormat="false" ht="15" hidden="false" customHeight="false" outlineLevel="0" collapsed="false">
      <c r="A31" s="19" t="s">
        <v>30</v>
      </c>
      <c r="B31" s="14" t="n">
        <f aca="false">COUNTIF('Field Tracker'!E5:E84,"Self-Review")</f>
        <v>0</v>
      </c>
      <c r="C31" s="15" t="n">
        <f aca="false">B31/80</f>
        <v>0</v>
      </c>
    </row>
    <row r="32" customFormat="false" ht="15" hidden="false" customHeight="false" outlineLevel="0" collapsed="false">
      <c r="A32" s="19" t="s">
        <v>31</v>
      </c>
      <c r="B32" s="14" t="n">
        <f aca="false">COUNTIF('Field Tracker'!E5:E84,"Cross-Review")</f>
        <v>0</v>
      </c>
      <c r="C32" s="15" t="n">
        <f aca="false">B32/80</f>
        <v>0</v>
      </c>
    </row>
    <row r="33" customFormat="false" ht="15" hidden="false" customHeight="false" outlineLevel="0" collapsed="false">
      <c r="A33" s="19" t="s">
        <v>32</v>
      </c>
      <c r="B33" s="14" t="n">
        <f aca="false">COUNTIF('Field Tracker'!E5:E84,"Integration")</f>
        <v>0</v>
      </c>
      <c r="C33" s="15" t="n">
        <f aca="false">B33/80</f>
        <v>0</v>
      </c>
    </row>
    <row r="34" customFormat="false" ht="15" hidden="false" customHeight="false" outlineLevel="0" collapsed="false">
      <c r="A34" s="19" t="s">
        <v>33</v>
      </c>
      <c r="B34" s="14" t="n">
        <f aca="false">COUNTIF('Field Tracker'!E5:E84,"Advisor Needed")</f>
        <v>0</v>
      </c>
      <c r="C34" s="15" t="n">
        <f aca="false">B34/80</f>
        <v>0</v>
      </c>
    </row>
    <row r="35" customFormat="false" ht="15" hidden="false" customHeight="false" outlineLevel="0" collapsed="false">
      <c r="A35" s="19" t="s">
        <v>9</v>
      </c>
      <c r="B35" s="14" t="n">
        <f aca="false">COUNTIF('Field Tracker'!E5:E84,"Done")</f>
        <v>0</v>
      </c>
      <c r="C35" s="15" t="n">
        <f aca="false">B35/80</f>
        <v>0</v>
      </c>
    </row>
  </sheetData>
  <mergeCells count="13">
    <mergeCell ref="A1:F1"/>
    <mergeCell ref="A2:F2"/>
    <mergeCell ref="A4:B6"/>
    <mergeCell ref="C4:D6"/>
    <mergeCell ref="E4:F6"/>
    <mergeCell ref="A7:B7"/>
    <mergeCell ref="C7:D7"/>
    <mergeCell ref="E7:F7"/>
    <mergeCell ref="A9:F9"/>
    <mergeCell ref="B10:F10"/>
    <mergeCell ref="A12:F12"/>
    <mergeCell ref="A19:F19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31.5" hidden="false" customHeight="true" outlineLevel="0" collapsed="false">
      <c r="A1" s="20" t="s">
        <v>34</v>
      </c>
      <c r="B1" s="20"/>
      <c r="C1" s="20"/>
      <c r="D1" s="20"/>
      <c r="E1" s="20"/>
      <c r="F1" s="20"/>
      <c r="G1" s="20"/>
      <c r="H1" s="20"/>
      <c r="I1" s="20"/>
    </row>
    <row r="2" customFormat="false" ht="21.75" hidden="false" customHeight="true" outlineLevel="0" collapsed="false">
      <c r="A2" s="21" t="s">
        <v>35</v>
      </c>
      <c r="B2" s="21"/>
      <c r="C2" s="21"/>
      <c r="D2" s="21"/>
      <c r="E2" s="21"/>
      <c r="F2" s="21"/>
      <c r="G2" s="21"/>
      <c r="H2" s="21"/>
      <c r="I2" s="21"/>
    </row>
    <row r="4" customFormat="false" ht="30" hidden="false" customHeight="true" outlineLevel="0" collapsed="false">
      <c r="A4" s="22" t="s">
        <v>36</v>
      </c>
      <c r="B4" s="22" t="s">
        <v>7</v>
      </c>
      <c r="C4" s="22" t="s">
        <v>37</v>
      </c>
      <c r="D4" s="22" t="s">
        <v>38</v>
      </c>
      <c r="E4" s="22" t="s">
        <v>27</v>
      </c>
      <c r="F4" s="22" t="s">
        <v>18</v>
      </c>
      <c r="G4" s="22" t="s">
        <v>39</v>
      </c>
      <c r="H4" s="22" t="s">
        <v>40</v>
      </c>
      <c r="I4" s="22" t="s">
        <v>41</v>
      </c>
    </row>
    <row r="5" customFormat="false" ht="27.75" hidden="false" customHeight="true" outlineLevel="0" collapsed="false">
      <c r="A5" s="23" t="n">
        <v>1</v>
      </c>
      <c r="B5" s="24" t="s">
        <v>13</v>
      </c>
      <c r="C5" s="25" t="s">
        <v>42</v>
      </c>
      <c r="D5" s="26" t="s">
        <v>43</v>
      </c>
      <c r="E5" s="27" t="s">
        <v>28</v>
      </c>
      <c r="F5" s="26" t="s">
        <v>21</v>
      </c>
      <c r="G5" s="26" t="s">
        <v>44</v>
      </c>
      <c r="H5" s="26" t="s">
        <v>45</v>
      </c>
      <c r="I5" s="26"/>
    </row>
    <row r="6" customFormat="false" ht="27.75" hidden="false" customHeight="true" outlineLevel="0" collapsed="false">
      <c r="A6" s="23" t="n">
        <v>2</v>
      </c>
      <c r="B6" s="24" t="s">
        <v>13</v>
      </c>
      <c r="C6" s="25" t="s">
        <v>42</v>
      </c>
      <c r="D6" s="26" t="s">
        <v>46</v>
      </c>
      <c r="E6" s="27" t="s">
        <v>28</v>
      </c>
      <c r="F6" s="26" t="s">
        <v>21</v>
      </c>
      <c r="G6" s="26" t="s">
        <v>44</v>
      </c>
      <c r="H6" s="26" t="s">
        <v>45</v>
      </c>
      <c r="I6" s="26"/>
    </row>
    <row r="7" customFormat="false" ht="27.75" hidden="false" customHeight="true" outlineLevel="0" collapsed="false">
      <c r="A7" s="23" t="n">
        <v>3</v>
      </c>
      <c r="B7" s="24" t="s">
        <v>13</v>
      </c>
      <c r="C7" s="25" t="s">
        <v>42</v>
      </c>
      <c r="D7" s="26" t="s">
        <v>47</v>
      </c>
      <c r="E7" s="27" t="s">
        <v>28</v>
      </c>
      <c r="F7" s="26" t="s">
        <v>21</v>
      </c>
      <c r="G7" s="26" t="s">
        <v>44</v>
      </c>
      <c r="H7" s="26" t="s">
        <v>45</v>
      </c>
      <c r="I7" s="26"/>
    </row>
    <row r="8" customFormat="false" ht="27.75" hidden="false" customHeight="true" outlineLevel="0" collapsed="false">
      <c r="A8" s="23" t="n">
        <v>4</v>
      </c>
      <c r="B8" s="24" t="s">
        <v>13</v>
      </c>
      <c r="C8" s="25" t="s">
        <v>42</v>
      </c>
      <c r="D8" s="26" t="s">
        <v>48</v>
      </c>
      <c r="E8" s="27" t="s">
        <v>28</v>
      </c>
      <c r="F8" s="26" t="s">
        <v>21</v>
      </c>
      <c r="G8" s="26" t="s">
        <v>44</v>
      </c>
      <c r="H8" s="26" t="s">
        <v>45</v>
      </c>
      <c r="I8" s="26"/>
    </row>
    <row r="9" customFormat="false" ht="27.75" hidden="false" customHeight="true" outlineLevel="0" collapsed="false">
      <c r="A9" s="23" t="n">
        <v>5</v>
      </c>
      <c r="B9" s="24" t="s">
        <v>13</v>
      </c>
      <c r="C9" s="25" t="s">
        <v>42</v>
      </c>
      <c r="D9" s="26" t="s">
        <v>49</v>
      </c>
      <c r="E9" s="27" t="s">
        <v>28</v>
      </c>
      <c r="F9" s="26" t="s">
        <v>21</v>
      </c>
      <c r="G9" s="26" t="s">
        <v>44</v>
      </c>
      <c r="H9" s="26" t="s">
        <v>45</v>
      </c>
      <c r="I9" s="26"/>
    </row>
    <row r="10" customFormat="false" ht="27.75" hidden="false" customHeight="true" outlineLevel="0" collapsed="false">
      <c r="A10" s="23" t="n">
        <v>6</v>
      </c>
      <c r="B10" s="24" t="s">
        <v>13</v>
      </c>
      <c r="C10" s="25" t="s">
        <v>42</v>
      </c>
      <c r="D10" s="26" t="s">
        <v>50</v>
      </c>
      <c r="E10" s="27" t="s">
        <v>28</v>
      </c>
      <c r="F10" s="26" t="s">
        <v>21</v>
      </c>
      <c r="G10" s="26" t="s">
        <v>44</v>
      </c>
      <c r="H10" s="26" t="s">
        <v>45</v>
      </c>
      <c r="I10" s="26"/>
    </row>
    <row r="11" customFormat="false" ht="27.75" hidden="false" customHeight="true" outlineLevel="0" collapsed="false">
      <c r="A11" s="23" t="n">
        <v>7</v>
      </c>
      <c r="B11" s="24" t="s">
        <v>13</v>
      </c>
      <c r="C11" s="25" t="s">
        <v>42</v>
      </c>
      <c r="D11" s="26" t="s">
        <v>51</v>
      </c>
      <c r="E11" s="27" t="s">
        <v>28</v>
      </c>
      <c r="F11" s="26" t="s">
        <v>21</v>
      </c>
      <c r="G11" s="26" t="s">
        <v>44</v>
      </c>
      <c r="H11" s="26" t="s">
        <v>45</v>
      </c>
      <c r="I11" s="26"/>
    </row>
    <row r="12" customFormat="false" ht="27.75" hidden="false" customHeight="true" outlineLevel="0" collapsed="false">
      <c r="A12" s="23" t="n">
        <v>8</v>
      </c>
      <c r="B12" s="24" t="s">
        <v>13</v>
      </c>
      <c r="C12" s="25" t="s">
        <v>52</v>
      </c>
      <c r="D12" s="26" t="s">
        <v>53</v>
      </c>
      <c r="E12" s="27" t="s">
        <v>28</v>
      </c>
      <c r="F12" s="26" t="s">
        <v>21</v>
      </c>
      <c r="G12" s="26" t="s">
        <v>44</v>
      </c>
      <c r="H12" s="26" t="s">
        <v>45</v>
      </c>
      <c r="I12" s="26"/>
    </row>
    <row r="13" customFormat="false" ht="27.75" hidden="false" customHeight="true" outlineLevel="0" collapsed="false">
      <c r="A13" s="23" t="n">
        <v>9</v>
      </c>
      <c r="B13" s="24" t="s">
        <v>13</v>
      </c>
      <c r="C13" s="25" t="s">
        <v>52</v>
      </c>
      <c r="D13" s="26" t="s">
        <v>54</v>
      </c>
      <c r="E13" s="27" t="s">
        <v>28</v>
      </c>
      <c r="F13" s="26" t="s">
        <v>21</v>
      </c>
      <c r="G13" s="26" t="s">
        <v>44</v>
      </c>
      <c r="H13" s="26" t="s">
        <v>45</v>
      </c>
      <c r="I13" s="26"/>
    </row>
    <row r="14" customFormat="false" ht="27.75" hidden="false" customHeight="true" outlineLevel="0" collapsed="false">
      <c r="A14" s="23" t="n">
        <v>10</v>
      </c>
      <c r="B14" s="24" t="s">
        <v>13</v>
      </c>
      <c r="C14" s="25" t="s">
        <v>52</v>
      </c>
      <c r="D14" s="26" t="s">
        <v>55</v>
      </c>
      <c r="E14" s="27" t="s">
        <v>28</v>
      </c>
      <c r="F14" s="26" t="s">
        <v>21</v>
      </c>
      <c r="G14" s="26" t="s">
        <v>44</v>
      </c>
      <c r="H14" s="26" t="s">
        <v>45</v>
      </c>
      <c r="I14" s="26"/>
    </row>
    <row r="15" customFormat="false" ht="27.75" hidden="false" customHeight="true" outlineLevel="0" collapsed="false">
      <c r="A15" s="23" t="n">
        <v>11</v>
      </c>
      <c r="B15" s="24" t="s">
        <v>13</v>
      </c>
      <c r="C15" s="25" t="s">
        <v>52</v>
      </c>
      <c r="D15" s="26" t="s">
        <v>56</v>
      </c>
      <c r="E15" s="27" t="s">
        <v>28</v>
      </c>
      <c r="F15" s="26" t="s">
        <v>21</v>
      </c>
      <c r="G15" s="26" t="s">
        <v>44</v>
      </c>
      <c r="H15" s="26" t="s">
        <v>45</v>
      </c>
      <c r="I15" s="26"/>
    </row>
    <row r="16" customFormat="false" ht="27.75" hidden="false" customHeight="true" outlineLevel="0" collapsed="false">
      <c r="A16" s="23" t="n">
        <v>12</v>
      </c>
      <c r="B16" s="24" t="s">
        <v>13</v>
      </c>
      <c r="C16" s="25" t="s">
        <v>52</v>
      </c>
      <c r="D16" s="26" t="s">
        <v>57</v>
      </c>
      <c r="E16" s="27" t="s">
        <v>28</v>
      </c>
      <c r="F16" s="26" t="s">
        <v>21</v>
      </c>
      <c r="G16" s="26" t="s">
        <v>44</v>
      </c>
      <c r="H16" s="26" t="s">
        <v>45</v>
      </c>
      <c r="I16" s="26"/>
    </row>
    <row r="17" customFormat="false" ht="27.75" hidden="false" customHeight="true" outlineLevel="0" collapsed="false">
      <c r="A17" s="23" t="n">
        <v>13</v>
      </c>
      <c r="B17" s="24" t="s">
        <v>13</v>
      </c>
      <c r="C17" s="25" t="s">
        <v>58</v>
      </c>
      <c r="D17" s="26" t="s">
        <v>59</v>
      </c>
      <c r="E17" s="27" t="s">
        <v>28</v>
      </c>
      <c r="F17" s="26" t="s">
        <v>21</v>
      </c>
      <c r="G17" s="26" t="s">
        <v>44</v>
      </c>
      <c r="H17" s="26" t="s">
        <v>45</v>
      </c>
      <c r="I17" s="26"/>
    </row>
    <row r="18" customFormat="false" ht="27.75" hidden="false" customHeight="true" outlineLevel="0" collapsed="false">
      <c r="A18" s="23" t="n">
        <v>14</v>
      </c>
      <c r="B18" s="24" t="s">
        <v>13</v>
      </c>
      <c r="C18" s="25" t="s">
        <v>58</v>
      </c>
      <c r="D18" s="26" t="s">
        <v>60</v>
      </c>
      <c r="E18" s="27" t="s">
        <v>28</v>
      </c>
      <c r="F18" s="26" t="s">
        <v>21</v>
      </c>
      <c r="G18" s="26" t="s">
        <v>44</v>
      </c>
      <c r="H18" s="26" t="s">
        <v>45</v>
      </c>
      <c r="I18" s="26"/>
    </row>
    <row r="19" customFormat="false" ht="27.75" hidden="false" customHeight="true" outlineLevel="0" collapsed="false">
      <c r="A19" s="23" t="n">
        <v>15</v>
      </c>
      <c r="B19" s="24" t="s">
        <v>13</v>
      </c>
      <c r="C19" s="25" t="s">
        <v>58</v>
      </c>
      <c r="D19" s="26" t="s">
        <v>61</v>
      </c>
      <c r="E19" s="27" t="s">
        <v>28</v>
      </c>
      <c r="F19" s="26" t="s">
        <v>21</v>
      </c>
      <c r="G19" s="26" t="s">
        <v>44</v>
      </c>
      <c r="H19" s="26" t="s">
        <v>45</v>
      </c>
      <c r="I19" s="26"/>
    </row>
    <row r="20" customFormat="false" ht="27.75" hidden="false" customHeight="true" outlineLevel="0" collapsed="false">
      <c r="A20" s="23" t="n">
        <v>16</v>
      </c>
      <c r="B20" s="24" t="s">
        <v>13</v>
      </c>
      <c r="C20" s="25" t="s">
        <v>58</v>
      </c>
      <c r="D20" s="26" t="s">
        <v>62</v>
      </c>
      <c r="E20" s="27" t="s">
        <v>28</v>
      </c>
      <c r="F20" s="26" t="s">
        <v>21</v>
      </c>
      <c r="G20" s="26" t="s">
        <v>44</v>
      </c>
      <c r="H20" s="26" t="s">
        <v>45</v>
      </c>
      <c r="I20" s="26"/>
    </row>
    <row r="21" customFormat="false" ht="27.75" hidden="false" customHeight="true" outlineLevel="0" collapsed="false">
      <c r="A21" s="23" t="n">
        <v>17</v>
      </c>
      <c r="B21" s="24" t="s">
        <v>13</v>
      </c>
      <c r="C21" s="25" t="s">
        <v>58</v>
      </c>
      <c r="D21" s="26" t="s">
        <v>63</v>
      </c>
      <c r="E21" s="27" t="s">
        <v>28</v>
      </c>
      <c r="F21" s="26" t="s">
        <v>21</v>
      </c>
      <c r="G21" s="26" t="s">
        <v>44</v>
      </c>
      <c r="H21" s="26" t="s">
        <v>45</v>
      </c>
      <c r="I21" s="26"/>
    </row>
    <row r="22" customFormat="false" ht="27.75" hidden="false" customHeight="true" outlineLevel="0" collapsed="false">
      <c r="A22" s="23" t="n">
        <v>18</v>
      </c>
      <c r="B22" s="24" t="s">
        <v>13</v>
      </c>
      <c r="C22" s="25" t="s">
        <v>64</v>
      </c>
      <c r="D22" s="26" t="s">
        <v>65</v>
      </c>
      <c r="E22" s="27" t="s">
        <v>28</v>
      </c>
      <c r="F22" s="26" t="s">
        <v>21</v>
      </c>
      <c r="G22" s="26" t="s">
        <v>44</v>
      </c>
      <c r="H22" s="26" t="s">
        <v>45</v>
      </c>
      <c r="I22" s="26"/>
    </row>
    <row r="23" customFormat="false" ht="27.75" hidden="false" customHeight="true" outlineLevel="0" collapsed="false">
      <c r="A23" s="23" t="n">
        <v>19</v>
      </c>
      <c r="B23" s="24" t="s">
        <v>13</v>
      </c>
      <c r="C23" s="25" t="s">
        <v>64</v>
      </c>
      <c r="D23" s="26" t="s">
        <v>66</v>
      </c>
      <c r="E23" s="27" t="s">
        <v>28</v>
      </c>
      <c r="F23" s="26" t="s">
        <v>21</v>
      </c>
      <c r="G23" s="26" t="s">
        <v>44</v>
      </c>
      <c r="H23" s="26" t="s">
        <v>45</v>
      </c>
      <c r="I23" s="26"/>
    </row>
    <row r="24" customFormat="false" ht="27.75" hidden="false" customHeight="true" outlineLevel="0" collapsed="false">
      <c r="A24" s="23" t="n">
        <v>20</v>
      </c>
      <c r="B24" s="24" t="s">
        <v>13</v>
      </c>
      <c r="C24" s="25" t="s">
        <v>64</v>
      </c>
      <c r="D24" s="26" t="s">
        <v>67</v>
      </c>
      <c r="E24" s="27" t="s">
        <v>28</v>
      </c>
      <c r="F24" s="26" t="s">
        <v>21</v>
      </c>
      <c r="G24" s="26" t="s">
        <v>44</v>
      </c>
      <c r="H24" s="26" t="s">
        <v>45</v>
      </c>
      <c r="I24" s="26"/>
    </row>
    <row r="25" customFormat="false" ht="27.75" hidden="false" customHeight="true" outlineLevel="0" collapsed="false">
      <c r="A25" s="23" t="n">
        <v>21</v>
      </c>
      <c r="B25" s="24" t="s">
        <v>13</v>
      </c>
      <c r="C25" s="25" t="s">
        <v>64</v>
      </c>
      <c r="D25" s="26" t="s">
        <v>68</v>
      </c>
      <c r="E25" s="27" t="s">
        <v>28</v>
      </c>
      <c r="F25" s="26" t="s">
        <v>21</v>
      </c>
      <c r="G25" s="26" t="s">
        <v>44</v>
      </c>
      <c r="H25" s="26" t="s">
        <v>45</v>
      </c>
      <c r="I25" s="26"/>
    </row>
    <row r="26" customFormat="false" ht="27.75" hidden="false" customHeight="true" outlineLevel="0" collapsed="false">
      <c r="A26" s="23" t="n">
        <v>22</v>
      </c>
      <c r="B26" s="24" t="s">
        <v>13</v>
      </c>
      <c r="C26" s="25" t="s">
        <v>69</v>
      </c>
      <c r="D26" s="26" t="s">
        <v>70</v>
      </c>
      <c r="E26" s="27" t="s">
        <v>28</v>
      </c>
      <c r="F26" s="26" t="s">
        <v>21</v>
      </c>
      <c r="G26" s="26" t="s">
        <v>44</v>
      </c>
      <c r="H26" s="26" t="s">
        <v>45</v>
      </c>
      <c r="I26" s="26"/>
    </row>
    <row r="27" customFormat="false" ht="27.75" hidden="false" customHeight="true" outlineLevel="0" collapsed="false">
      <c r="A27" s="23" t="n">
        <v>23</v>
      </c>
      <c r="B27" s="24" t="s">
        <v>13</v>
      </c>
      <c r="C27" s="25" t="s">
        <v>69</v>
      </c>
      <c r="D27" s="26" t="s">
        <v>71</v>
      </c>
      <c r="E27" s="27" t="s">
        <v>28</v>
      </c>
      <c r="F27" s="26" t="s">
        <v>21</v>
      </c>
      <c r="G27" s="26" t="s">
        <v>44</v>
      </c>
      <c r="H27" s="26" t="s">
        <v>45</v>
      </c>
      <c r="I27" s="26"/>
    </row>
    <row r="28" customFormat="false" ht="27.75" hidden="false" customHeight="true" outlineLevel="0" collapsed="false">
      <c r="A28" s="23" t="n">
        <v>24</v>
      </c>
      <c r="B28" s="24" t="s">
        <v>13</v>
      </c>
      <c r="C28" s="25" t="s">
        <v>69</v>
      </c>
      <c r="D28" s="26" t="s">
        <v>72</v>
      </c>
      <c r="E28" s="27" t="s">
        <v>28</v>
      </c>
      <c r="F28" s="26" t="s">
        <v>21</v>
      </c>
      <c r="G28" s="26" t="s">
        <v>44</v>
      </c>
      <c r="H28" s="26" t="s">
        <v>45</v>
      </c>
      <c r="I28" s="26"/>
    </row>
    <row r="29" customFormat="false" ht="27.75" hidden="false" customHeight="true" outlineLevel="0" collapsed="false">
      <c r="A29" s="23" t="n">
        <v>25</v>
      </c>
      <c r="B29" s="24" t="s">
        <v>13</v>
      </c>
      <c r="C29" s="25" t="s">
        <v>69</v>
      </c>
      <c r="D29" s="26" t="s">
        <v>73</v>
      </c>
      <c r="E29" s="27" t="s">
        <v>28</v>
      </c>
      <c r="F29" s="26" t="s">
        <v>21</v>
      </c>
      <c r="G29" s="26" t="s">
        <v>44</v>
      </c>
      <c r="H29" s="26" t="s">
        <v>45</v>
      </c>
      <c r="I29" s="26"/>
    </row>
    <row r="30" customFormat="false" ht="27.75" hidden="false" customHeight="true" outlineLevel="0" collapsed="false">
      <c r="A30" s="28" t="n">
        <v>26</v>
      </c>
      <c r="B30" s="29" t="s">
        <v>14</v>
      </c>
      <c r="C30" s="30" t="s">
        <v>74</v>
      </c>
      <c r="D30" s="26" t="s">
        <v>75</v>
      </c>
      <c r="E30" s="27" t="s">
        <v>28</v>
      </c>
      <c r="F30" s="26" t="s">
        <v>21</v>
      </c>
      <c r="G30" s="26" t="s">
        <v>44</v>
      </c>
      <c r="H30" s="26" t="s">
        <v>45</v>
      </c>
      <c r="I30" s="26"/>
    </row>
    <row r="31" customFormat="false" ht="27.75" hidden="false" customHeight="true" outlineLevel="0" collapsed="false">
      <c r="A31" s="28" t="n">
        <v>27</v>
      </c>
      <c r="B31" s="29" t="s">
        <v>14</v>
      </c>
      <c r="C31" s="30" t="s">
        <v>74</v>
      </c>
      <c r="D31" s="26" t="s">
        <v>76</v>
      </c>
      <c r="E31" s="27" t="s">
        <v>28</v>
      </c>
      <c r="F31" s="26" t="s">
        <v>21</v>
      </c>
      <c r="G31" s="26" t="s">
        <v>44</v>
      </c>
      <c r="H31" s="26" t="s">
        <v>45</v>
      </c>
      <c r="I31" s="26"/>
    </row>
    <row r="32" customFormat="false" ht="27.75" hidden="false" customHeight="true" outlineLevel="0" collapsed="false">
      <c r="A32" s="28" t="n">
        <v>28</v>
      </c>
      <c r="B32" s="29" t="s">
        <v>14</v>
      </c>
      <c r="C32" s="30" t="s">
        <v>74</v>
      </c>
      <c r="D32" s="26" t="s">
        <v>77</v>
      </c>
      <c r="E32" s="27" t="s">
        <v>28</v>
      </c>
      <c r="F32" s="26" t="s">
        <v>21</v>
      </c>
      <c r="G32" s="26" t="s">
        <v>44</v>
      </c>
      <c r="H32" s="26" t="s">
        <v>45</v>
      </c>
      <c r="I32" s="26"/>
    </row>
    <row r="33" customFormat="false" ht="27.75" hidden="false" customHeight="true" outlineLevel="0" collapsed="false">
      <c r="A33" s="28" t="n">
        <v>29</v>
      </c>
      <c r="B33" s="29" t="s">
        <v>14</v>
      </c>
      <c r="C33" s="30" t="s">
        <v>74</v>
      </c>
      <c r="D33" s="26" t="s">
        <v>78</v>
      </c>
      <c r="E33" s="27" t="s">
        <v>28</v>
      </c>
      <c r="F33" s="26" t="s">
        <v>21</v>
      </c>
      <c r="G33" s="26" t="s">
        <v>44</v>
      </c>
      <c r="H33" s="26" t="s">
        <v>45</v>
      </c>
      <c r="I33" s="26"/>
    </row>
    <row r="34" customFormat="false" ht="27.75" hidden="false" customHeight="true" outlineLevel="0" collapsed="false">
      <c r="A34" s="28" t="n">
        <v>30</v>
      </c>
      <c r="B34" s="29" t="s">
        <v>14</v>
      </c>
      <c r="C34" s="30" t="s">
        <v>79</v>
      </c>
      <c r="D34" s="26" t="s">
        <v>80</v>
      </c>
      <c r="E34" s="27" t="s">
        <v>28</v>
      </c>
      <c r="F34" s="26" t="s">
        <v>21</v>
      </c>
      <c r="G34" s="26" t="s">
        <v>44</v>
      </c>
      <c r="H34" s="26" t="s">
        <v>45</v>
      </c>
      <c r="I34" s="26"/>
    </row>
    <row r="35" customFormat="false" ht="27.75" hidden="false" customHeight="true" outlineLevel="0" collapsed="false">
      <c r="A35" s="28" t="n">
        <v>31</v>
      </c>
      <c r="B35" s="29" t="s">
        <v>14</v>
      </c>
      <c r="C35" s="30" t="s">
        <v>79</v>
      </c>
      <c r="D35" s="26" t="s">
        <v>81</v>
      </c>
      <c r="E35" s="27" t="s">
        <v>28</v>
      </c>
      <c r="F35" s="26" t="s">
        <v>21</v>
      </c>
      <c r="G35" s="26" t="s">
        <v>44</v>
      </c>
      <c r="H35" s="26" t="s">
        <v>45</v>
      </c>
      <c r="I35" s="26"/>
    </row>
    <row r="36" customFormat="false" ht="27.75" hidden="false" customHeight="true" outlineLevel="0" collapsed="false">
      <c r="A36" s="28" t="n">
        <v>32</v>
      </c>
      <c r="B36" s="29" t="s">
        <v>14</v>
      </c>
      <c r="C36" s="30" t="s">
        <v>79</v>
      </c>
      <c r="D36" s="26" t="s">
        <v>82</v>
      </c>
      <c r="E36" s="27" t="s">
        <v>28</v>
      </c>
      <c r="F36" s="26" t="s">
        <v>21</v>
      </c>
      <c r="G36" s="26" t="s">
        <v>44</v>
      </c>
      <c r="H36" s="26" t="s">
        <v>45</v>
      </c>
      <c r="I36" s="26"/>
    </row>
    <row r="37" customFormat="false" ht="27.75" hidden="false" customHeight="true" outlineLevel="0" collapsed="false">
      <c r="A37" s="28" t="n">
        <v>33</v>
      </c>
      <c r="B37" s="29" t="s">
        <v>14</v>
      </c>
      <c r="C37" s="30" t="s">
        <v>79</v>
      </c>
      <c r="D37" s="26" t="s">
        <v>83</v>
      </c>
      <c r="E37" s="27" t="s">
        <v>28</v>
      </c>
      <c r="F37" s="26" t="s">
        <v>21</v>
      </c>
      <c r="G37" s="26" t="s">
        <v>44</v>
      </c>
      <c r="H37" s="26" t="s">
        <v>45</v>
      </c>
      <c r="I37" s="26"/>
    </row>
    <row r="38" customFormat="false" ht="27.75" hidden="false" customHeight="true" outlineLevel="0" collapsed="false">
      <c r="A38" s="28" t="n">
        <v>34</v>
      </c>
      <c r="B38" s="29" t="s">
        <v>14</v>
      </c>
      <c r="C38" s="30" t="s">
        <v>79</v>
      </c>
      <c r="D38" s="26" t="s">
        <v>84</v>
      </c>
      <c r="E38" s="27" t="s">
        <v>28</v>
      </c>
      <c r="F38" s="26" t="s">
        <v>21</v>
      </c>
      <c r="G38" s="26" t="s">
        <v>44</v>
      </c>
      <c r="H38" s="26" t="s">
        <v>45</v>
      </c>
      <c r="I38" s="26"/>
    </row>
    <row r="39" customFormat="false" ht="27.75" hidden="false" customHeight="true" outlineLevel="0" collapsed="false">
      <c r="A39" s="28" t="n">
        <v>35</v>
      </c>
      <c r="B39" s="29" t="s">
        <v>14</v>
      </c>
      <c r="C39" s="30" t="s">
        <v>85</v>
      </c>
      <c r="D39" s="26" t="s">
        <v>86</v>
      </c>
      <c r="E39" s="27" t="s">
        <v>28</v>
      </c>
      <c r="F39" s="26" t="s">
        <v>21</v>
      </c>
      <c r="G39" s="26" t="s">
        <v>44</v>
      </c>
      <c r="H39" s="26" t="s">
        <v>45</v>
      </c>
      <c r="I39" s="26"/>
    </row>
    <row r="40" customFormat="false" ht="27.75" hidden="false" customHeight="true" outlineLevel="0" collapsed="false">
      <c r="A40" s="28" t="n">
        <v>36</v>
      </c>
      <c r="B40" s="29" t="s">
        <v>14</v>
      </c>
      <c r="C40" s="30" t="s">
        <v>85</v>
      </c>
      <c r="D40" s="26" t="s">
        <v>87</v>
      </c>
      <c r="E40" s="27" t="s">
        <v>28</v>
      </c>
      <c r="F40" s="26" t="s">
        <v>21</v>
      </c>
      <c r="G40" s="26" t="s">
        <v>44</v>
      </c>
      <c r="H40" s="26" t="s">
        <v>45</v>
      </c>
      <c r="I40" s="26"/>
    </row>
    <row r="41" customFormat="false" ht="27.75" hidden="false" customHeight="true" outlineLevel="0" collapsed="false">
      <c r="A41" s="28" t="n">
        <v>37</v>
      </c>
      <c r="B41" s="29" t="s">
        <v>14</v>
      </c>
      <c r="C41" s="30" t="s">
        <v>85</v>
      </c>
      <c r="D41" s="26" t="s">
        <v>88</v>
      </c>
      <c r="E41" s="27" t="s">
        <v>28</v>
      </c>
      <c r="F41" s="26" t="s">
        <v>21</v>
      </c>
      <c r="G41" s="26" t="s">
        <v>44</v>
      </c>
      <c r="H41" s="26" t="s">
        <v>45</v>
      </c>
      <c r="I41" s="26"/>
    </row>
    <row r="42" customFormat="false" ht="27.75" hidden="false" customHeight="true" outlineLevel="0" collapsed="false">
      <c r="A42" s="28" t="n">
        <v>38</v>
      </c>
      <c r="B42" s="29" t="s">
        <v>14</v>
      </c>
      <c r="C42" s="30" t="s">
        <v>85</v>
      </c>
      <c r="D42" s="26" t="s">
        <v>89</v>
      </c>
      <c r="E42" s="27" t="s">
        <v>28</v>
      </c>
      <c r="F42" s="26" t="s">
        <v>21</v>
      </c>
      <c r="G42" s="26" t="s">
        <v>44</v>
      </c>
      <c r="H42" s="26" t="s">
        <v>45</v>
      </c>
      <c r="I42" s="26"/>
    </row>
    <row r="43" customFormat="false" ht="27.75" hidden="false" customHeight="true" outlineLevel="0" collapsed="false">
      <c r="A43" s="28" t="n">
        <v>39</v>
      </c>
      <c r="B43" s="29" t="s">
        <v>14</v>
      </c>
      <c r="C43" s="30" t="s">
        <v>85</v>
      </c>
      <c r="D43" s="26" t="s">
        <v>90</v>
      </c>
      <c r="E43" s="27" t="s">
        <v>28</v>
      </c>
      <c r="F43" s="26" t="s">
        <v>21</v>
      </c>
      <c r="G43" s="26" t="s">
        <v>44</v>
      </c>
      <c r="H43" s="26" t="s">
        <v>45</v>
      </c>
      <c r="I43" s="26"/>
    </row>
    <row r="44" customFormat="false" ht="27.75" hidden="false" customHeight="true" outlineLevel="0" collapsed="false">
      <c r="A44" s="28" t="n">
        <v>40</v>
      </c>
      <c r="B44" s="29" t="s">
        <v>14</v>
      </c>
      <c r="C44" s="30" t="s">
        <v>91</v>
      </c>
      <c r="D44" s="26" t="s">
        <v>92</v>
      </c>
      <c r="E44" s="27" t="s">
        <v>28</v>
      </c>
      <c r="F44" s="26" t="s">
        <v>21</v>
      </c>
      <c r="G44" s="26" t="s">
        <v>44</v>
      </c>
      <c r="H44" s="26" t="s">
        <v>45</v>
      </c>
      <c r="I44" s="26"/>
    </row>
    <row r="45" customFormat="false" ht="27.75" hidden="false" customHeight="true" outlineLevel="0" collapsed="false">
      <c r="A45" s="28" t="n">
        <v>41</v>
      </c>
      <c r="B45" s="29" t="s">
        <v>14</v>
      </c>
      <c r="C45" s="30" t="s">
        <v>91</v>
      </c>
      <c r="D45" s="26" t="s">
        <v>93</v>
      </c>
      <c r="E45" s="27" t="s">
        <v>28</v>
      </c>
      <c r="F45" s="26" t="s">
        <v>21</v>
      </c>
      <c r="G45" s="26" t="s">
        <v>44</v>
      </c>
      <c r="H45" s="26" t="s">
        <v>45</v>
      </c>
      <c r="I45" s="26"/>
    </row>
    <row r="46" customFormat="false" ht="27.75" hidden="false" customHeight="true" outlineLevel="0" collapsed="false">
      <c r="A46" s="28" t="n">
        <v>42</v>
      </c>
      <c r="B46" s="29" t="s">
        <v>14</v>
      </c>
      <c r="C46" s="30" t="s">
        <v>91</v>
      </c>
      <c r="D46" s="26" t="s">
        <v>94</v>
      </c>
      <c r="E46" s="27" t="s">
        <v>28</v>
      </c>
      <c r="F46" s="26" t="s">
        <v>21</v>
      </c>
      <c r="G46" s="26" t="s">
        <v>44</v>
      </c>
      <c r="H46" s="26" t="s">
        <v>45</v>
      </c>
      <c r="I46" s="26"/>
    </row>
    <row r="47" customFormat="false" ht="27.75" hidden="false" customHeight="true" outlineLevel="0" collapsed="false">
      <c r="A47" s="28" t="n">
        <v>43</v>
      </c>
      <c r="B47" s="29" t="s">
        <v>14</v>
      </c>
      <c r="C47" s="30" t="s">
        <v>95</v>
      </c>
      <c r="D47" s="26" t="s">
        <v>96</v>
      </c>
      <c r="E47" s="27" t="s">
        <v>28</v>
      </c>
      <c r="F47" s="26" t="s">
        <v>21</v>
      </c>
      <c r="G47" s="26" t="s">
        <v>44</v>
      </c>
      <c r="H47" s="26" t="s">
        <v>45</v>
      </c>
      <c r="I47" s="26"/>
    </row>
    <row r="48" customFormat="false" ht="27.75" hidden="false" customHeight="true" outlineLevel="0" collapsed="false">
      <c r="A48" s="28" t="n">
        <v>44</v>
      </c>
      <c r="B48" s="29" t="s">
        <v>14</v>
      </c>
      <c r="C48" s="30" t="s">
        <v>95</v>
      </c>
      <c r="D48" s="26" t="s">
        <v>97</v>
      </c>
      <c r="E48" s="27" t="s">
        <v>28</v>
      </c>
      <c r="F48" s="26" t="s">
        <v>21</v>
      </c>
      <c r="G48" s="26" t="s">
        <v>44</v>
      </c>
      <c r="H48" s="26" t="s">
        <v>45</v>
      </c>
      <c r="I48" s="26"/>
    </row>
    <row r="49" customFormat="false" ht="27.75" hidden="false" customHeight="true" outlineLevel="0" collapsed="false">
      <c r="A49" s="28" t="n">
        <v>45</v>
      </c>
      <c r="B49" s="29" t="s">
        <v>14</v>
      </c>
      <c r="C49" s="30" t="s">
        <v>95</v>
      </c>
      <c r="D49" s="26" t="s">
        <v>98</v>
      </c>
      <c r="E49" s="27" t="s">
        <v>28</v>
      </c>
      <c r="F49" s="26" t="s">
        <v>21</v>
      </c>
      <c r="G49" s="26" t="s">
        <v>44</v>
      </c>
      <c r="H49" s="26" t="s">
        <v>45</v>
      </c>
      <c r="I49" s="26"/>
    </row>
    <row r="50" customFormat="false" ht="27.75" hidden="false" customHeight="true" outlineLevel="0" collapsed="false">
      <c r="A50" s="28" t="n">
        <v>46</v>
      </c>
      <c r="B50" s="29" t="s">
        <v>14</v>
      </c>
      <c r="C50" s="30" t="s">
        <v>95</v>
      </c>
      <c r="D50" s="26" t="s">
        <v>99</v>
      </c>
      <c r="E50" s="27" t="s">
        <v>28</v>
      </c>
      <c r="F50" s="26" t="s">
        <v>21</v>
      </c>
      <c r="G50" s="26" t="s">
        <v>44</v>
      </c>
      <c r="H50" s="26" t="s">
        <v>45</v>
      </c>
      <c r="I50" s="26"/>
    </row>
    <row r="51" customFormat="false" ht="27.75" hidden="false" customHeight="true" outlineLevel="0" collapsed="false">
      <c r="A51" s="28" t="n">
        <v>47</v>
      </c>
      <c r="B51" s="29" t="s">
        <v>14</v>
      </c>
      <c r="C51" s="30" t="s">
        <v>100</v>
      </c>
      <c r="D51" s="26" t="s">
        <v>101</v>
      </c>
      <c r="E51" s="27" t="s">
        <v>28</v>
      </c>
      <c r="F51" s="26" t="s">
        <v>21</v>
      </c>
      <c r="G51" s="26" t="s">
        <v>44</v>
      </c>
      <c r="H51" s="26" t="s">
        <v>45</v>
      </c>
      <c r="I51" s="26"/>
    </row>
    <row r="52" customFormat="false" ht="27.75" hidden="false" customHeight="true" outlineLevel="0" collapsed="false">
      <c r="A52" s="28" t="n">
        <v>48</v>
      </c>
      <c r="B52" s="29" t="s">
        <v>14</v>
      </c>
      <c r="C52" s="30" t="s">
        <v>100</v>
      </c>
      <c r="D52" s="26" t="s">
        <v>102</v>
      </c>
      <c r="E52" s="27" t="s">
        <v>28</v>
      </c>
      <c r="F52" s="26" t="s">
        <v>21</v>
      </c>
      <c r="G52" s="26" t="s">
        <v>44</v>
      </c>
      <c r="H52" s="26" t="s">
        <v>45</v>
      </c>
      <c r="I52" s="26"/>
    </row>
    <row r="53" customFormat="false" ht="27.75" hidden="false" customHeight="true" outlineLevel="0" collapsed="false">
      <c r="A53" s="28" t="n">
        <v>49</v>
      </c>
      <c r="B53" s="29" t="s">
        <v>14</v>
      </c>
      <c r="C53" s="30" t="s">
        <v>103</v>
      </c>
      <c r="D53" s="26" t="s">
        <v>104</v>
      </c>
      <c r="E53" s="27" t="s">
        <v>28</v>
      </c>
      <c r="F53" s="26" t="s">
        <v>21</v>
      </c>
      <c r="G53" s="26" t="s">
        <v>44</v>
      </c>
      <c r="H53" s="26" t="s">
        <v>45</v>
      </c>
      <c r="I53" s="26"/>
    </row>
    <row r="54" customFormat="false" ht="27.75" hidden="false" customHeight="true" outlineLevel="0" collapsed="false">
      <c r="A54" s="28" t="n">
        <v>50</v>
      </c>
      <c r="B54" s="29" t="s">
        <v>14</v>
      </c>
      <c r="C54" s="30" t="s">
        <v>103</v>
      </c>
      <c r="D54" s="26" t="s">
        <v>105</v>
      </c>
      <c r="E54" s="27" t="s">
        <v>28</v>
      </c>
      <c r="F54" s="26" t="s">
        <v>21</v>
      </c>
      <c r="G54" s="26" t="s">
        <v>44</v>
      </c>
      <c r="H54" s="26" t="s">
        <v>45</v>
      </c>
      <c r="I54" s="26"/>
    </row>
    <row r="55" customFormat="false" ht="27.75" hidden="false" customHeight="true" outlineLevel="0" collapsed="false">
      <c r="A55" s="31" t="n">
        <v>51</v>
      </c>
      <c r="B55" s="32" t="s">
        <v>15</v>
      </c>
      <c r="C55" s="33" t="s">
        <v>106</v>
      </c>
      <c r="D55" s="26" t="s">
        <v>107</v>
      </c>
      <c r="E55" s="27" t="s">
        <v>28</v>
      </c>
      <c r="F55" s="26" t="s">
        <v>21</v>
      </c>
      <c r="G55" s="26" t="s">
        <v>44</v>
      </c>
      <c r="H55" s="26" t="s">
        <v>45</v>
      </c>
      <c r="I55" s="26"/>
    </row>
    <row r="56" customFormat="false" ht="27.75" hidden="false" customHeight="true" outlineLevel="0" collapsed="false">
      <c r="A56" s="31" t="n">
        <v>52</v>
      </c>
      <c r="B56" s="32" t="s">
        <v>15</v>
      </c>
      <c r="C56" s="33" t="s">
        <v>108</v>
      </c>
      <c r="D56" s="26" t="s">
        <v>109</v>
      </c>
      <c r="E56" s="27" t="s">
        <v>28</v>
      </c>
      <c r="F56" s="26" t="s">
        <v>21</v>
      </c>
      <c r="G56" s="26" t="s">
        <v>44</v>
      </c>
      <c r="H56" s="26" t="s">
        <v>45</v>
      </c>
      <c r="I56" s="26"/>
    </row>
    <row r="57" customFormat="false" ht="27.75" hidden="false" customHeight="true" outlineLevel="0" collapsed="false">
      <c r="A57" s="31" t="n">
        <v>53</v>
      </c>
      <c r="B57" s="32" t="s">
        <v>15</v>
      </c>
      <c r="C57" s="33" t="s">
        <v>110</v>
      </c>
      <c r="D57" s="26" t="s">
        <v>111</v>
      </c>
      <c r="E57" s="27" t="s">
        <v>28</v>
      </c>
      <c r="F57" s="26" t="s">
        <v>21</v>
      </c>
      <c r="G57" s="26" t="s">
        <v>44</v>
      </c>
      <c r="H57" s="26" t="s">
        <v>45</v>
      </c>
      <c r="I57" s="26"/>
    </row>
    <row r="58" customFormat="false" ht="27.75" hidden="false" customHeight="true" outlineLevel="0" collapsed="false">
      <c r="A58" s="31" t="n">
        <v>54</v>
      </c>
      <c r="B58" s="32" t="s">
        <v>15</v>
      </c>
      <c r="C58" s="33" t="s">
        <v>112</v>
      </c>
      <c r="D58" s="26" t="s">
        <v>113</v>
      </c>
      <c r="E58" s="27" t="s">
        <v>28</v>
      </c>
      <c r="F58" s="26" t="s">
        <v>21</v>
      </c>
      <c r="G58" s="26" t="s">
        <v>44</v>
      </c>
      <c r="H58" s="26" t="s">
        <v>45</v>
      </c>
      <c r="I58" s="26"/>
    </row>
    <row r="59" customFormat="false" ht="27.75" hidden="false" customHeight="true" outlineLevel="0" collapsed="false">
      <c r="A59" s="31" t="n">
        <v>55</v>
      </c>
      <c r="B59" s="32" t="s">
        <v>15</v>
      </c>
      <c r="C59" s="33" t="s">
        <v>114</v>
      </c>
      <c r="D59" s="26" t="s">
        <v>115</v>
      </c>
      <c r="E59" s="27" t="s">
        <v>28</v>
      </c>
      <c r="F59" s="26" t="s">
        <v>21</v>
      </c>
      <c r="G59" s="26" t="s">
        <v>44</v>
      </c>
      <c r="H59" s="26" t="s">
        <v>45</v>
      </c>
      <c r="I59" s="26"/>
    </row>
    <row r="60" customFormat="false" ht="27.75" hidden="false" customHeight="true" outlineLevel="0" collapsed="false">
      <c r="A60" s="31" t="n">
        <v>56</v>
      </c>
      <c r="B60" s="32" t="s">
        <v>15</v>
      </c>
      <c r="C60" s="33" t="s">
        <v>114</v>
      </c>
      <c r="D60" s="26" t="s">
        <v>116</v>
      </c>
      <c r="E60" s="27" t="s">
        <v>28</v>
      </c>
      <c r="F60" s="26" t="s">
        <v>21</v>
      </c>
      <c r="G60" s="26" t="s">
        <v>44</v>
      </c>
      <c r="H60" s="26" t="s">
        <v>45</v>
      </c>
      <c r="I60" s="26"/>
    </row>
    <row r="61" customFormat="false" ht="27.75" hidden="false" customHeight="true" outlineLevel="0" collapsed="false">
      <c r="A61" s="31" t="n">
        <v>57</v>
      </c>
      <c r="B61" s="32" t="s">
        <v>15</v>
      </c>
      <c r="C61" s="33" t="s">
        <v>114</v>
      </c>
      <c r="D61" s="26" t="s">
        <v>117</v>
      </c>
      <c r="E61" s="27" t="s">
        <v>28</v>
      </c>
      <c r="F61" s="26" t="s">
        <v>21</v>
      </c>
      <c r="G61" s="26" t="s">
        <v>44</v>
      </c>
      <c r="H61" s="26" t="s">
        <v>45</v>
      </c>
      <c r="I61" s="26"/>
    </row>
    <row r="62" customFormat="false" ht="27.75" hidden="false" customHeight="true" outlineLevel="0" collapsed="false">
      <c r="A62" s="31" t="n">
        <v>58</v>
      </c>
      <c r="B62" s="32" t="s">
        <v>15</v>
      </c>
      <c r="C62" s="33" t="s">
        <v>118</v>
      </c>
      <c r="D62" s="26" t="s">
        <v>119</v>
      </c>
      <c r="E62" s="27" t="s">
        <v>28</v>
      </c>
      <c r="F62" s="26" t="s">
        <v>21</v>
      </c>
      <c r="G62" s="26" t="s">
        <v>44</v>
      </c>
      <c r="H62" s="26" t="s">
        <v>45</v>
      </c>
      <c r="I62" s="26"/>
    </row>
    <row r="63" customFormat="false" ht="27.75" hidden="false" customHeight="true" outlineLevel="0" collapsed="false">
      <c r="A63" s="31" t="n">
        <v>59</v>
      </c>
      <c r="B63" s="32" t="s">
        <v>15</v>
      </c>
      <c r="C63" s="33" t="s">
        <v>118</v>
      </c>
      <c r="D63" s="26" t="s">
        <v>120</v>
      </c>
      <c r="E63" s="27" t="s">
        <v>28</v>
      </c>
      <c r="F63" s="26" t="s">
        <v>21</v>
      </c>
      <c r="G63" s="26" t="s">
        <v>44</v>
      </c>
      <c r="H63" s="26" t="s">
        <v>45</v>
      </c>
      <c r="I63" s="26"/>
    </row>
    <row r="64" customFormat="false" ht="27.75" hidden="false" customHeight="true" outlineLevel="0" collapsed="false">
      <c r="A64" s="31" t="n">
        <v>60</v>
      </c>
      <c r="B64" s="32" t="s">
        <v>15</v>
      </c>
      <c r="C64" s="33" t="s">
        <v>121</v>
      </c>
      <c r="D64" s="26" t="s">
        <v>122</v>
      </c>
      <c r="E64" s="27" t="s">
        <v>28</v>
      </c>
      <c r="F64" s="26" t="s">
        <v>21</v>
      </c>
      <c r="G64" s="26" t="s">
        <v>44</v>
      </c>
      <c r="H64" s="26" t="s">
        <v>45</v>
      </c>
      <c r="I64" s="26"/>
    </row>
    <row r="65" customFormat="false" ht="27.75" hidden="false" customHeight="true" outlineLevel="0" collapsed="false">
      <c r="A65" s="31" t="n">
        <v>61</v>
      </c>
      <c r="B65" s="32" t="s">
        <v>15</v>
      </c>
      <c r="C65" s="33" t="s">
        <v>123</v>
      </c>
      <c r="D65" s="26" t="s">
        <v>124</v>
      </c>
      <c r="E65" s="27" t="s">
        <v>28</v>
      </c>
      <c r="F65" s="26" t="s">
        <v>21</v>
      </c>
      <c r="G65" s="26" t="s">
        <v>44</v>
      </c>
      <c r="H65" s="26" t="s">
        <v>45</v>
      </c>
      <c r="I65" s="26"/>
    </row>
    <row r="66" customFormat="false" ht="27.75" hidden="false" customHeight="true" outlineLevel="0" collapsed="false">
      <c r="A66" s="31" t="n">
        <v>62</v>
      </c>
      <c r="B66" s="32" t="s">
        <v>15</v>
      </c>
      <c r="C66" s="33" t="s">
        <v>123</v>
      </c>
      <c r="D66" s="26" t="s">
        <v>125</v>
      </c>
      <c r="E66" s="27" t="s">
        <v>28</v>
      </c>
      <c r="F66" s="26" t="s">
        <v>21</v>
      </c>
      <c r="G66" s="26" t="s">
        <v>44</v>
      </c>
      <c r="H66" s="26" t="s">
        <v>45</v>
      </c>
      <c r="I66" s="26"/>
    </row>
    <row r="67" customFormat="false" ht="27.75" hidden="false" customHeight="true" outlineLevel="0" collapsed="false">
      <c r="A67" s="31" t="n">
        <v>63</v>
      </c>
      <c r="B67" s="32" t="s">
        <v>15</v>
      </c>
      <c r="C67" s="33" t="s">
        <v>123</v>
      </c>
      <c r="D67" s="26" t="s">
        <v>126</v>
      </c>
      <c r="E67" s="27" t="s">
        <v>28</v>
      </c>
      <c r="F67" s="26" t="s">
        <v>21</v>
      </c>
      <c r="G67" s="26" t="s">
        <v>44</v>
      </c>
      <c r="H67" s="26" t="s">
        <v>45</v>
      </c>
      <c r="I67" s="26"/>
    </row>
    <row r="68" customFormat="false" ht="27.75" hidden="false" customHeight="true" outlineLevel="0" collapsed="false">
      <c r="A68" s="31" t="n">
        <v>64</v>
      </c>
      <c r="B68" s="32" t="s">
        <v>15</v>
      </c>
      <c r="C68" s="33" t="s">
        <v>123</v>
      </c>
      <c r="D68" s="26" t="s">
        <v>127</v>
      </c>
      <c r="E68" s="27" t="s">
        <v>28</v>
      </c>
      <c r="F68" s="26" t="s">
        <v>21</v>
      </c>
      <c r="G68" s="26" t="s">
        <v>44</v>
      </c>
      <c r="H68" s="26" t="s">
        <v>45</v>
      </c>
      <c r="I68" s="26"/>
    </row>
    <row r="69" customFormat="false" ht="27.75" hidden="false" customHeight="true" outlineLevel="0" collapsed="false">
      <c r="A69" s="31" t="n">
        <v>65</v>
      </c>
      <c r="B69" s="32" t="s">
        <v>15</v>
      </c>
      <c r="C69" s="33" t="s">
        <v>123</v>
      </c>
      <c r="D69" s="26" t="s">
        <v>128</v>
      </c>
      <c r="E69" s="27" t="s">
        <v>28</v>
      </c>
      <c r="F69" s="26" t="s">
        <v>21</v>
      </c>
      <c r="G69" s="26" t="s">
        <v>44</v>
      </c>
      <c r="H69" s="26" t="s">
        <v>45</v>
      </c>
      <c r="I69" s="26"/>
    </row>
    <row r="70" customFormat="false" ht="27.75" hidden="false" customHeight="true" outlineLevel="0" collapsed="false">
      <c r="A70" s="34" t="n">
        <v>66</v>
      </c>
      <c r="B70" s="35" t="s">
        <v>16</v>
      </c>
      <c r="C70" s="36" t="s">
        <v>129</v>
      </c>
      <c r="D70" s="26" t="s">
        <v>130</v>
      </c>
      <c r="E70" s="27" t="s">
        <v>28</v>
      </c>
      <c r="F70" s="26" t="s">
        <v>21</v>
      </c>
      <c r="G70" s="26" t="s">
        <v>44</v>
      </c>
      <c r="H70" s="26" t="s">
        <v>45</v>
      </c>
      <c r="I70" s="26"/>
    </row>
    <row r="71" customFormat="false" ht="27.75" hidden="false" customHeight="true" outlineLevel="0" collapsed="false">
      <c r="A71" s="34" t="n">
        <v>67</v>
      </c>
      <c r="B71" s="35" t="s">
        <v>16</v>
      </c>
      <c r="C71" s="36" t="s">
        <v>129</v>
      </c>
      <c r="D71" s="26" t="s">
        <v>131</v>
      </c>
      <c r="E71" s="27" t="s">
        <v>28</v>
      </c>
      <c r="F71" s="26" t="s">
        <v>21</v>
      </c>
      <c r="G71" s="26" t="s">
        <v>44</v>
      </c>
      <c r="H71" s="26" t="s">
        <v>45</v>
      </c>
      <c r="I71" s="26"/>
    </row>
    <row r="72" customFormat="false" ht="27.75" hidden="false" customHeight="true" outlineLevel="0" collapsed="false">
      <c r="A72" s="34" t="n">
        <v>68</v>
      </c>
      <c r="B72" s="35" t="s">
        <v>16</v>
      </c>
      <c r="C72" s="36" t="s">
        <v>132</v>
      </c>
      <c r="D72" s="26" t="s">
        <v>133</v>
      </c>
      <c r="E72" s="27" t="s">
        <v>28</v>
      </c>
      <c r="F72" s="26" t="s">
        <v>21</v>
      </c>
      <c r="G72" s="26" t="s">
        <v>44</v>
      </c>
      <c r="H72" s="26" t="s">
        <v>45</v>
      </c>
      <c r="I72" s="26"/>
    </row>
    <row r="73" customFormat="false" ht="27.75" hidden="false" customHeight="true" outlineLevel="0" collapsed="false">
      <c r="A73" s="34" t="n">
        <v>69</v>
      </c>
      <c r="B73" s="35" t="s">
        <v>16</v>
      </c>
      <c r="C73" s="36" t="s">
        <v>134</v>
      </c>
      <c r="D73" s="26" t="s">
        <v>135</v>
      </c>
      <c r="E73" s="27" t="s">
        <v>28</v>
      </c>
      <c r="F73" s="26" t="s">
        <v>21</v>
      </c>
      <c r="G73" s="26" t="s">
        <v>44</v>
      </c>
      <c r="H73" s="26" t="s">
        <v>45</v>
      </c>
      <c r="I73" s="26"/>
    </row>
    <row r="74" customFormat="false" ht="27.75" hidden="false" customHeight="true" outlineLevel="0" collapsed="false">
      <c r="A74" s="34" t="n">
        <v>70</v>
      </c>
      <c r="B74" s="35" t="s">
        <v>16</v>
      </c>
      <c r="C74" s="36" t="s">
        <v>136</v>
      </c>
      <c r="D74" s="26" t="s">
        <v>137</v>
      </c>
      <c r="E74" s="27" t="s">
        <v>28</v>
      </c>
      <c r="F74" s="26" t="s">
        <v>21</v>
      </c>
      <c r="G74" s="26" t="s">
        <v>44</v>
      </c>
      <c r="H74" s="26" t="s">
        <v>45</v>
      </c>
      <c r="I74" s="26"/>
    </row>
    <row r="75" customFormat="false" ht="27.75" hidden="false" customHeight="true" outlineLevel="0" collapsed="false">
      <c r="A75" s="34" t="n">
        <v>71</v>
      </c>
      <c r="B75" s="35" t="s">
        <v>16</v>
      </c>
      <c r="C75" s="36" t="s">
        <v>138</v>
      </c>
      <c r="D75" s="26" t="s">
        <v>139</v>
      </c>
      <c r="E75" s="27" t="s">
        <v>28</v>
      </c>
      <c r="F75" s="26" t="s">
        <v>21</v>
      </c>
      <c r="G75" s="26" t="s">
        <v>44</v>
      </c>
      <c r="H75" s="26" t="s">
        <v>45</v>
      </c>
      <c r="I75" s="26"/>
    </row>
    <row r="76" customFormat="false" ht="27.75" hidden="false" customHeight="true" outlineLevel="0" collapsed="false">
      <c r="A76" s="34" t="n">
        <v>72</v>
      </c>
      <c r="B76" s="35" t="s">
        <v>16</v>
      </c>
      <c r="C76" s="36" t="s">
        <v>138</v>
      </c>
      <c r="D76" s="26" t="s">
        <v>140</v>
      </c>
      <c r="E76" s="27" t="s">
        <v>28</v>
      </c>
      <c r="F76" s="26" t="s">
        <v>21</v>
      </c>
      <c r="G76" s="26" t="s">
        <v>44</v>
      </c>
      <c r="H76" s="26" t="s">
        <v>45</v>
      </c>
      <c r="I76" s="26"/>
    </row>
    <row r="77" customFormat="false" ht="27.75" hidden="false" customHeight="true" outlineLevel="0" collapsed="false">
      <c r="A77" s="34" t="n">
        <v>73</v>
      </c>
      <c r="B77" s="35" t="s">
        <v>16</v>
      </c>
      <c r="C77" s="36" t="s">
        <v>138</v>
      </c>
      <c r="D77" s="26" t="s">
        <v>141</v>
      </c>
      <c r="E77" s="27" t="s">
        <v>28</v>
      </c>
      <c r="F77" s="26" t="s">
        <v>21</v>
      </c>
      <c r="G77" s="26" t="s">
        <v>44</v>
      </c>
      <c r="H77" s="26" t="s">
        <v>45</v>
      </c>
      <c r="I77" s="26"/>
    </row>
    <row r="78" customFormat="false" ht="27.75" hidden="false" customHeight="true" outlineLevel="0" collapsed="false">
      <c r="A78" s="34" t="n">
        <v>74</v>
      </c>
      <c r="B78" s="35" t="s">
        <v>16</v>
      </c>
      <c r="C78" s="36" t="s">
        <v>138</v>
      </c>
      <c r="D78" s="26" t="s">
        <v>142</v>
      </c>
      <c r="E78" s="27" t="s">
        <v>28</v>
      </c>
      <c r="F78" s="26" t="s">
        <v>21</v>
      </c>
      <c r="G78" s="26" t="s">
        <v>44</v>
      </c>
      <c r="H78" s="26" t="s">
        <v>45</v>
      </c>
      <c r="I78" s="26"/>
    </row>
    <row r="79" customFormat="false" ht="27.75" hidden="false" customHeight="true" outlineLevel="0" collapsed="false">
      <c r="A79" s="34" t="n">
        <v>75</v>
      </c>
      <c r="B79" s="35" t="s">
        <v>16</v>
      </c>
      <c r="C79" s="36" t="s">
        <v>138</v>
      </c>
      <c r="D79" s="26" t="s">
        <v>143</v>
      </c>
      <c r="E79" s="27" t="s">
        <v>28</v>
      </c>
      <c r="F79" s="26" t="s">
        <v>21</v>
      </c>
      <c r="G79" s="26" t="s">
        <v>44</v>
      </c>
      <c r="H79" s="26" t="s">
        <v>45</v>
      </c>
      <c r="I79" s="26"/>
    </row>
    <row r="80" customFormat="false" ht="27.75" hidden="false" customHeight="true" outlineLevel="0" collapsed="false">
      <c r="A80" s="34" t="n">
        <v>76</v>
      </c>
      <c r="B80" s="35" t="s">
        <v>16</v>
      </c>
      <c r="C80" s="36" t="s">
        <v>144</v>
      </c>
      <c r="D80" s="26" t="s">
        <v>145</v>
      </c>
      <c r="E80" s="27" t="s">
        <v>28</v>
      </c>
      <c r="F80" s="26" t="s">
        <v>21</v>
      </c>
      <c r="G80" s="26" t="s">
        <v>44</v>
      </c>
      <c r="H80" s="26" t="s">
        <v>45</v>
      </c>
      <c r="I80" s="26"/>
    </row>
    <row r="81" customFormat="false" ht="27.75" hidden="false" customHeight="true" outlineLevel="0" collapsed="false">
      <c r="A81" s="34" t="n">
        <v>77</v>
      </c>
      <c r="B81" s="35" t="s">
        <v>16</v>
      </c>
      <c r="C81" s="36" t="s">
        <v>144</v>
      </c>
      <c r="D81" s="26" t="s">
        <v>146</v>
      </c>
      <c r="E81" s="27" t="s">
        <v>28</v>
      </c>
      <c r="F81" s="26" t="s">
        <v>21</v>
      </c>
      <c r="G81" s="26" t="s">
        <v>44</v>
      </c>
      <c r="H81" s="26" t="s">
        <v>45</v>
      </c>
      <c r="I81" s="26"/>
    </row>
    <row r="82" customFormat="false" ht="27.75" hidden="false" customHeight="true" outlineLevel="0" collapsed="false">
      <c r="A82" s="34" t="n">
        <v>78</v>
      </c>
      <c r="B82" s="35" t="s">
        <v>16</v>
      </c>
      <c r="C82" s="36" t="s">
        <v>147</v>
      </c>
      <c r="D82" s="26" t="s">
        <v>148</v>
      </c>
      <c r="E82" s="27" t="s">
        <v>28</v>
      </c>
      <c r="F82" s="26" t="s">
        <v>21</v>
      </c>
      <c r="G82" s="26" t="s">
        <v>44</v>
      </c>
      <c r="H82" s="26" t="s">
        <v>45</v>
      </c>
      <c r="I82" s="26"/>
    </row>
    <row r="83" customFormat="false" ht="27.75" hidden="false" customHeight="true" outlineLevel="0" collapsed="false">
      <c r="A83" s="34" t="n">
        <v>79</v>
      </c>
      <c r="B83" s="35" t="s">
        <v>16</v>
      </c>
      <c r="C83" s="36" t="s">
        <v>147</v>
      </c>
      <c r="D83" s="26" t="s">
        <v>149</v>
      </c>
      <c r="E83" s="27" t="s">
        <v>28</v>
      </c>
      <c r="F83" s="26" t="s">
        <v>21</v>
      </c>
      <c r="G83" s="26" t="s">
        <v>44</v>
      </c>
      <c r="H83" s="26" t="s">
        <v>45</v>
      </c>
      <c r="I83" s="26"/>
    </row>
    <row r="84" customFormat="false" ht="27.75" hidden="false" customHeight="true" outlineLevel="0" collapsed="false">
      <c r="A84" s="34" t="n">
        <v>80</v>
      </c>
      <c r="B84" s="35" t="s">
        <v>16</v>
      </c>
      <c r="C84" s="36" t="s">
        <v>150</v>
      </c>
      <c r="D84" s="26" t="s">
        <v>151</v>
      </c>
      <c r="E84" s="27" t="s">
        <v>28</v>
      </c>
      <c r="F84" s="26" t="s">
        <v>21</v>
      </c>
      <c r="G84" s="26" t="s">
        <v>44</v>
      </c>
      <c r="H84" s="26" t="s">
        <v>45</v>
      </c>
      <c r="I84" s="26"/>
    </row>
  </sheetData>
  <mergeCells count="2">
    <mergeCell ref="A1:I1"/>
    <mergeCell ref="A2:I2"/>
  </mergeCells>
  <conditionalFormatting sqref="E5:E84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"Drafting"</formula>
    </cfRule>
    <cfRule type="cellIs" priority="4" operator="equal" aboveAverage="0" equalAverage="0" bottom="0" percent="0" rank="0" text="" dxfId="1">
      <formula>"Self-Review"</formula>
    </cfRule>
    <cfRule type="cellIs" priority="5" operator="equal" aboveAverage="0" equalAverage="0" bottom="0" percent="0" rank="0" text="" dxfId="2">
      <formula>"Cross-Review"</formula>
    </cfRule>
    <cfRule type="cellIs" priority="6" operator="equal" aboveAverage="0" equalAverage="0" bottom="0" percent="0" rank="0" text="" dxfId="3">
      <formula>"Integration"</formula>
    </cfRule>
    <cfRule type="cellIs" priority="7" operator="equal" aboveAverage="0" equalAverage="0" bottom="0" percent="0" rank="0" text="" dxfId="4">
      <formula>"Advisor Needed"</formula>
    </cfRule>
    <cfRule type="cellIs" priority="8" operator="equal" aboveAverage="0" equalAverage="0" bottom="0" percent="0" rank="0" text="" dxfId="5">
      <formula>"Done"</formula>
    </cfRule>
  </conditionalFormatting>
  <conditionalFormatting sqref="G5:G84">
    <cfRule type="cellIs" priority="9" operator="equal" aboveAverage="0" equalAverage="0" bottom="0" percent="0" rank="0" text="" dxfId="6">
      <formula>"Passed Both Tests"</formula>
    </cfRule>
    <cfRule type="cellIs" priority="10" operator="equal" aboveAverage="0" equalAverage="0" bottom="0" percent="0" rank="0" text="" dxfId="7">
      <formula>"Failed Specificity"</formula>
    </cfRule>
    <cfRule type="cellIs" priority="11" operator="equal" aboveAverage="0" equalAverage="0" bottom="0" percent="0" rank="0" text="" dxfId="7">
      <formula>"Failed Competitor Test"</formula>
    </cfRule>
    <cfRule type="cellIs" priority="12" operator="equal" aboveAverage="0" equalAverage="0" bottom="0" percent="0" rank="0" text="" dxfId="8">
      <formula>"Needs Rework"</formula>
    </cfRule>
    <cfRule type="cellIs" priority="13" operator="equal" aboveAverage="0" equalAverage="0" bottom="0" percent="0" rank="0" text="" dxfId="9">
      <formula>"Pending"</formula>
    </cfRule>
  </conditionalFormatting>
  <conditionalFormatting sqref="H5:H84">
    <cfRule type="cellIs" priority="14" operator="equal" aboveAverage="0" equalAverage="0" bottom="0" percent="0" rank="0" text="" dxfId="6">
      <formula>"confirmed"</formula>
    </cfRule>
    <cfRule type="cellIs" priority="15" operator="equal" aboveAverage="0" equalAverage="0" bottom="0" percent="0" rank="0" text="" dxfId="10">
      <formula>"inferred"</formula>
    </cfRule>
    <cfRule type="cellIs" priority="16" operator="equal" aboveAverage="0" equalAverage="0" bottom="0" percent="0" rank="0" text="" dxfId="9">
      <formula>"experimental"</formula>
    </cfRule>
  </conditionalFormatting>
  <dataValidations count="5">
    <dataValidation allowBlank="false" error="Please select from list" errorStyle="stop" errorTitle="Invalid Owner" operator="between" showDropDown="false" showErrorMessage="false" showInputMessage="false" sqref="B5:B84" type="list">
      <formula1>"Hisham,Ohoud,Nada,Kamal,Cultural Advisor,Mohammed Rabie"</formula1>
      <formula2>0</formula2>
    </dataValidation>
    <dataValidation allowBlank="false" errorStyle="stop" operator="between" showDropDown="false" showErrorMessage="false" showInputMessage="false" sqref="E5:E84" type="list">
      <formula1>"Not Started,Drafting,Self-Review,Cross-Review,Integration,Advisor Needed,Done"</formula1>
      <formula2>0</formula2>
    </dataValidation>
    <dataValidation allowBlank="false" errorStyle="stop" operator="between" showDropDown="false" showErrorMessage="false" showInputMessage="false" sqref="F5:F84" type="list">
      <formula1>"1 Drafting,2 Cross-Review,3 Integration,4 Advisor,5 YAML Conversion"</formula1>
      <formula2>0</formula2>
    </dataValidation>
    <dataValidation allowBlank="false" errorStyle="stop" operator="between" showDropDown="false" showErrorMessage="false" showInputMessage="false" sqref="G5:G84" type="list">
      <formula1>"Pending,Passed Both Tests,Failed Specificity,Failed Competitor Test,Needs Rework"</formula1>
      <formula2>0</formula2>
    </dataValidation>
    <dataValidation allowBlank="false" errorStyle="stop" operator="between" showDropDown="false" showErrorMessage="false" showInputMessage="false" sqref="H5:H84" type="list">
      <formula1>"experimental,inferred,confirmed"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20" t="s">
        <v>152</v>
      </c>
      <c r="B1" s="20"/>
      <c r="C1" s="20"/>
      <c r="D1" s="20"/>
    </row>
    <row r="2" customFormat="false" ht="15" hidden="false" customHeight="false" outlineLevel="0" collapsed="false">
      <c r="A2" s="2" t="s">
        <v>153</v>
      </c>
      <c r="B2" s="2"/>
      <c r="C2" s="2"/>
      <c r="D2" s="2"/>
    </row>
    <row r="3" customFormat="false" ht="15" hidden="false" customHeight="false" outlineLevel="0" collapsed="false">
      <c r="A3" s="37" t="s">
        <v>154</v>
      </c>
      <c r="B3" s="38" t="s">
        <v>155</v>
      </c>
    </row>
    <row r="5" customFormat="false" ht="30" hidden="false" customHeight="true" outlineLevel="0" collapsed="false">
      <c r="A5" s="22" t="s">
        <v>156</v>
      </c>
      <c r="B5" s="22" t="s">
        <v>18</v>
      </c>
      <c r="C5" s="22" t="s">
        <v>157</v>
      </c>
      <c r="D5" s="22" t="s">
        <v>158</v>
      </c>
    </row>
    <row r="6" customFormat="false" ht="49.5" hidden="false" customHeight="true" outlineLevel="0" collapsed="false">
      <c r="A6" s="39" t="s">
        <v>159</v>
      </c>
      <c r="B6" s="40" t="s">
        <v>21</v>
      </c>
      <c r="C6" s="40" t="str">
        <f aca="false">TEXT($B$3+0,"D MMM")&amp;" – "&amp;TEXT($B$3+0+6,"D MMM YYYY")</f>
        <v>19 May – 25 May 2026</v>
      </c>
      <c r="D6" s="40" t="s">
        <v>160</v>
      </c>
    </row>
    <row r="7" customFormat="false" ht="49.5" hidden="false" customHeight="true" outlineLevel="0" collapsed="false">
      <c r="A7" s="39" t="s">
        <v>161</v>
      </c>
      <c r="B7" s="40" t="s">
        <v>22</v>
      </c>
      <c r="C7" s="40" t="str">
        <f aca="false">TEXT($B$3+7,"D MMM")&amp;" – "&amp;TEXT($B$3+7+6,"D MMM YYYY")</f>
        <v>26 May – 1 Jun 2026</v>
      </c>
      <c r="D7" s="40" t="s">
        <v>162</v>
      </c>
    </row>
    <row r="8" customFormat="false" ht="49.5" hidden="false" customHeight="true" outlineLevel="0" collapsed="false">
      <c r="A8" s="39" t="s">
        <v>163</v>
      </c>
      <c r="B8" s="40" t="s">
        <v>23</v>
      </c>
      <c r="C8" s="40" t="str">
        <f aca="false">TEXT($B$3+14,"D MMM")&amp;" – "&amp;TEXT($B$3+14+6,"D MMM YYYY")</f>
        <v>2 Jun – 8 Jun 2026</v>
      </c>
      <c r="D8" s="40" t="s">
        <v>164</v>
      </c>
    </row>
    <row r="9" customFormat="false" ht="49.5" hidden="false" customHeight="true" outlineLevel="0" collapsed="false">
      <c r="A9" s="39" t="s">
        <v>165</v>
      </c>
      <c r="B9" s="40" t="s">
        <v>24</v>
      </c>
      <c r="C9" s="40" t="str">
        <f aca="false">TEXT($B$3+21,"D MMM")&amp;" – "&amp;TEXT($B$3+21+6,"D MMM YYYY")</f>
        <v>9 Jun – 15 Jun 2026</v>
      </c>
      <c r="D9" s="40" t="s">
        <v>166</v>
      </c>
    </row>
    <row r="10" customFormat="false" ht="49.5" hidden="false" customHeight="true" outlineLevel="0" collapsed="false">
      <c r="A10" s="39" t="s">
        <v>167</v>
      </c>
      <c r="B10" s="40" t="s">
        <v>25</v>
      </c>
      <c r="C10" s="40" t="str">
        <f aca="false">TEXT($B$3+28,"D MMM")&amp;" – "&amp;TEXT($B$3+28+6,"D MMM YYYY")</f>
        <v>16 Jun – 22 Jun 2026</v>
      </c>
      <c r="D10" s="40" t="s">
        <v>168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38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41" t="s">
        <v>169</v>
      </c>
      <c r="B1" s="41"/>
      <c r="C1" s="41"/>
      <c r="D1" s="41"/>
      <c r="E1" s="41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</row>
    <row r="4" customFormat="false" ht="30" hidden="false" customHeight="true" outlineLevel="0" collapsed="false">
      <c r="A4" s="22" t="s">
        <v>36</v>
      </c>
      <c r="B4" s="22" t="s">
        <v>7</v>
      </c>
      <c r="C4" s="22" t="s">
        <v>171</v>
      </c>
      <c r="D4" s="22" t="s">
        <v>172</v>
      </c>
      <c r="E4" s="22" t="s">
        <v>41</v>
      </c>
      <c r="F4" s="22" t="s">
        <v>173</v>
      </c>
    </row>
    <row r="5" customFormat="false" ht="15" hidden="false" customHeight="false" outlineLevel="0" collapsed="false">
      <c r="A5" s="42" t="n">
        <f aca="false">'Field Tracker'!A5</f>
        <v>1</v>
      </c>
      <c r="B5" s="43" t="str">
        <f aca="false">'Field Tracker'!B5</f>
        <v>Hisham</v>
      </c>
      <c r="C5" s="43" t="str">
        <f aca="false">'Field Tracker'!C5</f>
        <v>Wardrobe</v>
      </c>
      <c r="D5" s="43" t="str">
        <f aca="false">'Field Tracker'!D5</f>
        <v>Thobe variants by setting (work, majlis, mosque, wedding, beach)</v>
      </c>
      <c r="E5" s="43" t="n">
        <f aca="false">'Field Tracker'!I5</f>
        <v>0</v>
      </c>
      <c r="F5" s="44" t="str">
        <f aca="false">'Field Tracker'!E5</f>
        <v>Not Started</v>
      </c>
    </row>
    <row r="6" customFormat="false" ht="15" hidden="false" customHeight="false" outlineLevel="0" collapsed="false">
      <c r="A6" s="42" t="n">
        <f aca="false">'Field Tracker'!A6</f>
        <v>2</v>
      </c>
      <c r="B6" s="43" t="str">
        <f aca="false">'Field Tracker'!B6</f>
        <v>Hisham</v>
      </c>
      <c r="C6" s="43" t="str">
        <f aca="false">'Field Tracker'!C6</f>
        <v>Wardrobe</v>
      </c>
      <c r="D6" s="43" t="str">
        <f aca="false">'Field Tracker'!D6</f>
        <v>Abaya conventions by brand tier and setting</v>
      </c>
      <c r="E6" s="43" t="n">
        <f aca="false">'Field Tracker'!I6</f>
        <v>0</v>
      </c>
      <c r="F6" s="44" t="str">
        <f aca="false">'Field Tracker'!E6</f>
        <v>Not Started</v>
      </c>
    </row>
    <row r="7" customFormat="false" ht="15" hidden="false" customHeight="false" outlineLevel="0" collapsed="false">
      <c r="A7" s="42" t="n">
        <f aca="false">'Field Tracker'!A7</f>
        <v>3</v>
      </c>
      <c r="B7" s="43" t="str">
        <f aca="false">'Field Tracker'!B7</f>
        <v>Hisham</v>
      </c>
      <c r="C7" s="43" t="str">
        <f aca="false">'Field Tracker'!C7</f>
        <v>Wardrobe</v>
      </c>
      <c r="D7" s="43" t="str">
        <f aca="false">'Field Tracker'!D7</f>
        <v>Bisht rules — when worn, how draped, who wears it</v>
      </c>
      <c r="E7" s="43" t="n">
        <f aca="false">'Field Tracker'!I7</f>
        <v>0</v>
      </c>
      <c r="F7" s="44" t="str">
        <f aca="false">'Field Tracker'!E7</f>
        <v>Not Started</v>
      </c>
    </row>
    <row r="8" customFormat="false" ht="15" hidden="false" customHeight="false" outlineLevel="0" collapsed="false">
      <c r="A8" s="42" t="n">
        <f aca="false">'Field Tracker'!A8</f>
        <v>4</v>
      </c>
      <c r="B8" s="43" t="str">
        <f aca="false">'Field Tracker'!B8</f>
        <v>Hisham</v>
      </c>
      <c r="C8" s="43" t="str">
        <f aca="false">'Field Tracker'!C8</f>
        <v>Wardrobe</v>
      </c>
      <c r="D8" s="43" t="str">
        <f aca="false">'Field Tracker'!D8</f>
        <v>Ghutra and shemagh styling (red vs white, occasions)</v>
      </c>
      <c r="E8" s="43" t="n">
        <f aca="false">'Field Tracker'!I8</f>
        <v>0</v>
      </c>
      <c r="F8" s="44" t="str">
        <f aca="false">'Field Tracker'!E8</f>
        <v>Not Started</v>
      </c>
    </row>
    <row r="9" customFormat="false" ht="15" hidden="false" customHeight="false" outlineLevel="0" collapsed="false">
      <c r="A9" s="42" t="n">
        <f aca="false">'Field Tracker'!A9</f>
        <v>5</v>
      </c>
      <c r="B9" s="43" t="str">
        <f aca="false">'Field Tracker'!B9</f>
        <v>Hisham</v>
      </c>
      <c r="C9" s="43" t="str">
        <f aca="false">'Field Tracker'!C9</f>
        <v>Wardrobe</v>
      </c>
      <c r="D9" s="43" t="str">
        <f aca="false">'Field Tracker'!D9</f>
        <v>Footwear conventions and forbidden styles</v>
      </c>
      <c r="E9" s="43" t="n">
        <f aca="false">'Field Tracker'!I9</f>
        <v>0</v>
      </c>
      <c r="F9" s="44" t="str">
        <f aca="false">'Field Tracker'!E9</f>
        <v>Not Started</v>
      </c>
    </row>
    <row r="10" customFormat="false" ht="15" hidden="false" customHeight="false" outlineLevel="0" collapsed="false">
      <c r="A10" s="42" t="n">
        <f aca="false">'Field Tracker'!A10</f>
        <v>6</v>
      </c>
      <c r="B10" s="43" t="str">
        <f aca="false">'Field Tracker'!B10</f>
        <v>Hisham</v>
      </c>
      <c r="C10" s="43" t="str">
        <f aca="false">'Field Tracker'!C10</f>
        <v>Wardrobe</v>
      </c>
      <c r="D10" s="43" t="str">
        <f aca="false">'Field Tracker'!D10</f>
        <v>Accessories — authentic markers vs. costume markers</v>
      </c>
      <c r="E10" s="43" t="n">
        <f aca="false">'Field Tracker'!I10</f>
        <v>0</v>
      </c>
      <c r="F10" s="44" t="str">
        <f aca="false">'Field Tracker'!E10</f>
        <v>Not Started</v>
      </c>
    </row>
    <row r="11" customFormat="false" ht="15" hidden="false" customHeight="false" outlineLevel="0" collapsed="false">
      <c r="A11" s="42" t="n">
        <f aca="false">'Field Tracker'!A11</f>
        <v>7</v>
      </c>
      <c r="B11" s="43" t="str">
        <f aca="false">'Field Tracker'!B11</f>
        <v>Hisham</v>
      </c>
      <c r="C11" s="43" t="str">
        <f aca="false">'Field Tracker'!C11</f>
        <v>Wardrobe</v>
      </c>
      <c r="D11" s="43" t="str">
        <f aca="false">'Field Tracker'!D11</f>
        <v>Wardrobe restrictions by occasion (Ramadan, Eid, funeral)</v>
      </c>
      <c r="E11" s="43" t="n">
        <f aca="false">'Field Tracker'!I11</f>
        <v>0</v>
      </c>
      <c r="F11" s="44" t="str">
        <f aca="false">'Field Tracker'!E11</f>
        <v>Not Started</v>
      </c>
    </row>
    <row r="12" customFormat="false" ht="15" hidden="false" customHeight="false" outlineLevel="0" collapsed="false">
      <c r="A12" s="42" t="n">
        <f aca="false">'Field Tracker'!A12</f>
        <v>8</v>
      </c>
      <c r="B12" s="43" t="str">
        <f aca="false">'Field Tracker'!B12</f>
        <v>Hisham</v>
      </c>
      <c r="C12" s="43" t="str">
        <f aca="false">'Field Tracker'!C12</f>
        <v>Gestures</v>
      </c>
      <c r="D12" s="43" t="str">
        <f aca="false">'Field Tracker'!D12</f>
        <v>Right-hand rules (serving food, handing items, eating)</v>
      </c>
      <c r="E12" s="43" t="n">
        <f aca="false">'Field Tracker'!I12</f>
        <v>0</v>
      </c>
      <c r="F12" s="44" t="str">
        <f aca="false">'Field Tracker'!E12</f>
        <v>Not Started</v>
      </c>
    </row>
    <row r="13" customFormat="false" ht="15" hidden="false" customHeight="false" outlineLevel="0" collapsed="false">
      <c r="A13" s="42" t="n">
        <f aca="false">'Field Tracker'!A13</f>
        <v>9</v>
      </c>
      <c r="B13" s="43" t="str">
        <f aca="false">'Field Tracker'!B13</f>
        <v>Hisham</v>
      </c>
      <c r="C13" s="43" t="str">
        <f aca="false">'Field Tracker'!C13</f>
        <v>Gestures</v>
      </c>
      <c r="D13" s="43" t="str">
        <f aca="false">'Field Tracker'!D13</f>
        <v>Forbidden gestures and what they signal</v>
      </c>
      <c r="E13" s="43" t="n">
        <f aca="false">'Field Tracker'!I13</f>
        <v>0</v>
      </c>
      <c r="F13" s="44" t="str">
        <f aca="false">'Field Tracker'!E13</f>
        <v>Not Started</v>
      </c>
    </row>
    <row r="14" customFormat="false" ht="15" hidden="false" customHeight="false" outlineLevel="0" collapsed="false">
      <c r="A14" s="42" t="n">
        <f aca="false">'Field Tracker'!A14</f>
        <v>10</v>
      </c>
      <c r="B14" s="43" t="str">
        <f aca="false">'Field Tracker'!B14</f>
        <v>Hisham</v>
      </c>
      <c r="C14" s="43" t="str">
        <f aca="false">'Field Tracker'!C14</f>
        <v>Gestures</v>
      </c>
      <c r="D14" s="43" t="str">
        <f aca="false">'Field Tracker'!D14</f>
        <v>Eye contact norms in mixed-gender settings</v>
      </c>
      <c r="E14" s="43" t="n">
        <f aca="false">'Field Tracker'!I14</f>
        <v>0</v>
      </c>
      <c r="F14" s="44" t="str">
        <f aca="false">'Field Tracker'!E14</f>
        <v>Not Started</v>
      </c>
    </row>
    <row r="15" customFormat="false" ht="15" hidden="false" customHeight="false" outlineLevel="0" collapsed="false">
      <c r="A15" s="42" t="n">
        <f aca="false">'Field Tracker'!A15</f>
        <v>11</v>
      </c>
      <c r="B15" s="43" t="str">
        <f aca="false">'Field Tracker'!B15</f>
        <v>Hisham</v>
      </c>
      <c r="C15" s="43" t="str">
        <f aca="false">'Field Tracker'!C15</f>
        <v>Gestures</v>
      </c>
      <c r="D15" s="43" t="str">
        <f aca="false">'Field Tracker'!D15</f>
        <v>Hand positions in formal photos</v>
      </c>
      <c r="E15" s="43" t="n">
        <f aca="false">'Field Tracker'!I15</f>
        <v>0</v>
      </c>
      <c r="F15" s="44" t="str">
        <f aca="false">'Field Tracker'!E15</f>
        <v>Not Started</v>
      </c>
    </row>
    <row r="16" customFormat="false" ht="15" hidden="false" customHeight="false" outlineLevel="0" collapsed="false">
      <c r="A16" s="42" t="n">
        <f aca="false">'Field Tracker'!A16</f>
        <v>12</v>
      </c>
      <c r="B16" s="43" t="str">
        <f aca="false">'Field Tracker'!B16</f>
        <v>Hisham</v>
      </c>
      <c r="C16" s="43" t="str">
        <f aca="false">'Field Tracker'!C16</f>
        <v>Gestures</v>
      </c>
      <c r="D16" s="43" t="str">
        <f aca="false">'Field Tracker'!D16</f>
        <v>Body posture conventions (sitting, standing, walking)</v>
      </c>
      <c r="E16" s="43" t="n">
        <f aca="false">'Field Tracker'!I16</f>
        <v>0</v>
      </c>
      <c r="F16" s="44" t="str">
        <f aca="false">'Field Tracker'!E16</f>
        <v>Not Started</v>
      </c>
    </row>
    <row r="17" customFormat="false" ht="15" hidden="false" customHeight="false" outlineLevel="0" collapsed="false">
      <c r="A17" s="42" t="n">
        <f aca="false">'Field Tracker'!A17</f>
        <v>13</v>
      </c>
      <c r="B17" s="43" t="str">
        <f aca="false">'Field Tracker'!B17</f>
        <v>Hisham</v>
      </c>
      <c r="C17" s="43" t="str">
        <f aca="false">'Field Tracker'!C17</f>
        <v>Architecture</v>
      </c>
      <c r="D17" s="43" t="str">
        <f aca="false">'Field Tracker'!D17</f>
        <v>Real Saudi home interior vs. Hollywood Middle Eastern</v>
      </c>
      <c r="E17" s="43" t="n">
        <f aca="false">'Field Tracker'!I17</f>
        <v>0</v>
      </c>
      <c r="F17" s="44" t="str">
        <f aca="false">'Field Tracker'!E17</f>
        <v>Not Started</v>
      </c>
    </row>
    <row r="18" customFormat="false" ht="15" hidden="false" customHeight="false" outlineLevel="0" collapsed="false">
      <c r="A18" s="42" t="n">
        <f aca="false">'Field Tracker'!A18</f>
        <v>14</v>
      </c>
      <c r="B18" s="43" t="str">
        <f aca="false">'Field Tracker'!B18</f>
        <v>Hisham</v>
      </c>
      <c r="C18" s="43" t="str">
        <f aca="false">'Field Tracker'!C18</f>
        <v>Architecture</v>
      </c>
      <c r="D18" s="43" t="str">
        <f aca="false">'Field Tracker'!D18</f>
        <v>Majlis configurations and seating conventions</v>
      </c>
      <c r="E18" s="43" t="n">
        <f aca="false">'Field Tracker'!I18</f>
        <v>0</v>
      </c>
      <c r="F18" s="44" t="str">
        <f aca="false">'Field Tracker'!E18</f>
        <v>Not Started</v>
      </c>
    </row>
    <row r="19" customFormat="false" ht="15" hidden="false" customHeight="false" outlineLevel="0" collapsed="false">
      <c r="A19" s="42" t="n">
        <f aca="false">'Field Tracker'!A19</f>
        <v>15</v>
      </c>
      <c r="B19" s="43" t="str">
        <f aca="false">'Field Tracker'!B19</f>
        <v>Hisham</v>
      </c>
      <c r="C19" s="43" t="str">
        <f aca="false">'Field Tracker'!C19</f>
        <v>Architecture</v>
      </c>
      <c r="D19" s="43" t="str">
        <f aca="false">'Field Tracker'!D19</f>
        <v>Kitchen and living room conventions</v>
      </c>
      <c r="E19" s="43" t="n">
        <f aca="false">'Field Tracker'!I19</f>
        <v>0</v>
      </c>
      <c r="F19" s="44" t="str">
        <f aca="false">'Field Tracker'!E19</f>
        <v>Not Started</v>
      </c>
    </row>
    <row r="20" customFormat="false" ht="15" hidden="false" customHeight="false" outlineLevel="0" collapsed="false">
      <c r="A20" s="42" t="n">
        <f aca="false">'Field Tracker'!A20</f>
        <v>16</v>
      </c>
      <c r="B20" s="43" t="str">
        <f aca="false">'Field Tracker'!B20</f>
        <v>Hisham</v>
      </c>
      <c r="C20" s="43" t="str">
        <f aca="false">'Field Tracker'!C20</f>
        <v>Architecture</v>
      </c>
      <c r="D20" s="43" t="str">
        <f aca="false">'Field Tracker'!D20</f>
        <v>Regional differences (Riyadh, Jeddah, Eastern Province)</v>
      </c>
      <c r="E20" s="43" t="n">
        <f aca="false">'Field Tracker'!I20</f>
        <v>0</v>
      </c>
      <c r="F20" s="44" t="str">
        <f aca="false">'Field Tracker'!E20</f>
        <v>Not Started</v>
      </c>
    </row>
    <row r="21" customFormat="false" ht="15" hidden="false" customHeight="false" outlineLevel="0" collapsed="false">
      <c r="A21" s="42" t="n">
        <f aca="false">'Field Tracker'!A21</f>
        <v>17</v>
      </c>
      <c r="B21" s="43" t="str">
        <f aca="false">'Field Tracker'!B21</f>
        <v>Hisham</v>
      </c>
      <c r="C21" s="43" t="str">
        <f aca="false">'Field Tracker'!C21</f>
        <v>Architecture</v>
      </c>
      <c r="D21" s="43" t="str">
        <f aca="false">'Field Tracker'!D21</f>
        <v>Exterior architecture by region</v>
      </c>
      <c r="E21" s="43" t="n">
        <f aca="false">'Field Tracker'!I21</f>
        <v>0</v>
      </c>
      <c r="F21" s="44" t="str">
        <f aca="false">'Field Tracker'!E21</f>
        <v>Not Started</v>
      </c>
    </row>
    <row r="22" customFormat="false" ht="15" hidden="false" customHeight="false" outlineLevel="0" collapsed="false">
      <c r="A22" s="42" t="n">
        <f aca="false">'Field Tracker'!A22</f>
        <v>18</v>
      </c>
      <c r="B22" s="43" t="str">
        <f aca="false">'Field Tracker'!B22</f>
        <v>Hisham</v>
      </c>
      <c r="C22" s="43" t="str">
        <f aca="false">'Field Tracker'!C22</f>
        <v>Props</v>
      </c>
      <c r="D22" s="43" t="str">
        <f aca="false">'Field Tracker'!D22</f>
        <v>Coffee pot rituals (dallah, finjan, serving order)</v>
      </c>
      <c r="E22" s="43" t="n">
        <f aca="false">'Field Tracker'!I22</f>
        <v>0</v>
      </c>
      <c r="F22" s="44" t="str">
        <f aca="false">'Field Tracker'!E22</f>
        <v>Not Started</v>
      </c>
    </row>
    <row r="23" customFormat="false" ht="15" hidden="false" customHeight="false" outlineLevel="0" collapsed="false">
      <c r="A23" s="42" t="n">
        <f aca="false">'Field Tracker'!A23</f>
        <v>19</v>
      </c>
      <c r="B23" s="43" t="str">
        <f aca="false">'Field Tracker'!B23</f>
        <v>Hisham</v>
      </c>
      <c r="C23" s="43" t="str">
        <f aca="false">'Field Tracker'!C23</f>
        <v>Props</v>
      </c>
      <c r="D23" s="43" t="str">
        <f aca="false">'Field Tracker'!D23</f>
        <v>Incense conventions (bukhoor, oud, occasions)</v>
      </c>
      <c r="E23" s="43" t="n">
        <f aca="false">'Field Tracker'!I23</f>
        <v>0</v>
      </c>
      <c r="F23" s="44" t="str">
        <f aca="false">'Field Tracker'!E23</f>
        <v>Not Started</v>
      </c>
    </row>
    <row r="24" customFormat="false" ht="15" hidden="false" customHeight="false" outlineLevel="0" collapsed="false">
      <c r="A24" s="42" t="n">
        <f aca="false">'Field Tracker'!A24</f>
        <v>20</v>
      </c>
      <c r="B24" s="43" t="str">
        <f aca="false">'Field Tracker'!B24</f>
        <v>Hisham</v>
      </c>
      <c r="C24" s="43" t="str">
        <f aca="false">'Field Tracker'!C24</f>
        <v>Props</v>
      </c>
      <c r="D24" s="43" t="str">
        <f aca="false">'Field Tracker'!D24</f>
        <v>Prayer items handling rules</v>
      </c>
      <c r="E24" s="43" t="n">
        <f aca="false">'Field Tracker'!I24</f>
        <v>0</v>
      </c>
      <c r="F24" s="44" t="str">
        <f aca="false">'Field Tracker'!E24</f>
        <v>Not Started</v>
      </c>
    </row>
    <row r="25" customFormat="false" ht="15" hidden="false" customHeight="false" outlineLevel="0" collapsed="false">
      <c r="A25" s="42" t="n">
        <f aca="false">'Field Tracker'!A25</f>
        <v>21</v>
      </c>
      <c r="B25" s="43" t="str">
        <f aca="false">'Field Tracker'!B25</f>
        <v>Hisham</v>
      </c>
      <c r="C25" s="43" t="str">
        <f aca="false">'Field Tracker'!C25</f>
        <v>Props</v>
      </c>
      <c r="D25" s="43" t="str">
        <f aca="false">'Field Tracker'!D25</f>
        <v>Food serving conventions (communal plates, dates)</v>
      </c>
      <c r="E25" s="43" t="n">
        <f aca="false">'Field Tracker'!I25</f>
        <v>0</v>
      </c>
      <c r="F25" s="44" t="str">
        <f aca="false">'Field Tracker'!E25</f>
        <v>Not Started</v>
      </c>
    </row>
    <row r="26" customFormat="false" ht="15" hidden="false" customHeight="false" outlineLevel="0" collapsed="false">
      <c r="A26" s="42" t="n">
        <f aca="false">'Field Tracker'!A26</f>
        <v>22</v>
      </c>
      <c r="B26" s="43" t="str">
        <f aca="false">'Field Tracker'!B26</f>
        <v>Hisham</v>
      </c>
      <c r="C26" s="43" t="str">
        <f aca="false">'Field Tracker'!C26</f>
        <v>Photography</v>
      </c>
      <c r="D26" s="43" t="str">
        <f aca="false">'Field Tracker'!D26</f>
        <v>Angles that work vs. read as foreign</v>
      </c>
      <c r="E26" s="43" t="n">
        <f aca="false">'Field Tracker'!I26</f>
        <v>0</v>
      </c>
      <c r="F26" s="44" t="str">
        <f aca="false">'Field Tracker'!E26</f>
        <v>Not Started</v>
      </c>
    </row>
    <row r="27" customFormat="false" ht="15" hidden="false" customHeight="false" outlineLevel="0" collapsed="false">
      <c r="A27" s="42" t="n">
        <f aca="false">'Field Tracker'!A27</f>
        <v>23</v>
      </c>
      <c r="B27" s="43" t="str">
        <f aca="false">'Field Tracker'!B27</f>
        <v>Hisham</v>
      </c>
      <c r="C27" s="43" t="str">
        <f aca="false">'Field Tracker'!C27</f>
        <v>Photography</v>
      </c>
      <c r="D27" s="43" t="str">
        <f aca="false">'Field Tracker'!D27</f>
        <v>Group photo arrangements</v>
      </c>
      <c r="E27" s="43" t="n">
        <f aca="false">'Field Tracker'!I27</f>
        <v>0</v>
      </c>
      <c r="F27" s="44" t="str">
        <f aca="false">'Field Tracker'!E27</f>
        <v>Not Started</v>
      </c>
    </row>
    <row r="28" customFormat="false" ht="15" hidden="false" customHeight="false" outlineLevel="0" collapsed="false">
      <c r="A28" s="42" t="n">
        <f aca="false">'Field Tracker'!A28</f>
        <v>24</v>
      </c>
      <c r="B28" s="43" t="str">
        <f aca="false">'Field Tracker'!B28</f>
        <v>Hisham</v>
      </c>
      <c r="C28" s="43" t="str">
        <f aca="false">'Field Tracker'!C28</f>
        <v>Photography</v>
      </c>
      <c r="D28" s="43" t="str">
        <f aca="false">'Field Tracker'!D28</f>
        <v>Women framing by brand tier</v>
      </c>
      <c r="E28" s="43" t="n">
        <f aca="false">'Field Tracker'!I28</f>
        <v>0</v>
      </c>
      <c r="F28" s="44" t="str">
        <f aca="false">'Field Tracker'!E28</f>
        <v>Not Started</v>
      </c>
    </row>
    <row r="29" customFormat="false" ht="15" hidden="false" customHeight="false" outlineLevel="0" collapsed="false">
      <c r="A29" s="42" t="n">
        <f aca="false">'Field Tracker'!A29</f>
        <v>25</v>
      </c>
      <c r="B29" s="43" t="str">
        <f aca="false">'Field Tracker'!B29</f>
        <v>Hisham</v>
      </c>
      <c r="C29" s="43" t="str">
        <f aca="false">'Field Tracker'!C29</f>
        <v>Photography</v>
      </c>
      <c r="D29" s="43" t="str">
        <f aca="false">'Field Tracker'!D29</f>
        <v>Men framing conventions</v>
      </c>
      <c r="E29" s="43" t="n">
        <f aca="false">'Field Tracker'!I29</f>
        <v>0</v>
      </c>
      <c r="F29" s="44" t="str">
        <f aca="false">'Field Tracker'!E29</f>
        <v>Not Started</v>
      </c>
    </row>
    <row r="30" customFormat="false" ht="15" hidden="false" customHeight="false" outlineLevel="0" collapsed="false">
      <c r="A30" s="42" t="n">
        <f aca="false">'Field Tracker'!A30</f>
        <v>26</v>
      </c>
      <c r="B30" s="43" t="str">
        <f aca="false">'Field Tracker'!B30</f>
        <v>Ohoud</v>
      </c>
      <c r="C30" s="43" t="str">
        <f aca="false">'Field Tracker'!C30</f>
        <v>Register</v>
      </c>
      <c r="D30" s="43" t="str">
        <f aca="false">'Field Tracker'!D30</f>
        <v>When to use Modern Standard Arabic (MSA)</v>
      </c>
      <c r="E30" s="43" t="n">
        <f aca="false">'Field Tracker'!I30</f>
        <v>0</v>
      </c>
      <c r="F30" s="44" t="str">
        <f aca="false">'Field Tracker'!E30</f>
        <v>Not Started</v>
      </c>
    </row>
    <row r="31" customFormat="false" ht="15" hidden="false" customHeight="false" outlineLevel="0" collapsed="false">
      <c r="A31" s="42" t="n">
        <f aca="false">'Field Tracker'!A31</f>
        <v>27</v>
      </c>
      <c r="B31" s="43" t="str">
        <f aca="false">'Field Tracker'!B31</f>
        <v>Ohoud</v>
      </c>
      <c r="C31" s="43" t="str">
        <f aca="false">'Field Tracker'!C31</f>
        <v>Register</v>
      </c>
      <c r="D31" s="43" t="str">
        <f aca="false">'Field Tracker'!D31</f>
        <v>When to use Najdi dialect</v>
      </c>
      <c r="E31" s="43" t="n">
        <f aca="false">'Field Tracker'!I31</f>
        <v>0</v>
      </c>
      <c r="F31" s="44" t="str">
        <f aca="false">'Field Tracker'!E31</f>
        <v>Not Started</v>
      </c>
    </row>
    <row r="32" customFormat="false" ht="15" hidden="false" customHeight="false" outlineLevel="0" collapsed="false">
      <c r="A32" s="42" t="n">
        <f aca="false">'Field Tracker'!A32</f>
        <v>28</v>
      </c>
      <c r="B32" s="43" t="str">
        <f aca="false">'Field Tracker'!B32</f>
        <v>Ohoud</v>
      </c>
      <c r="C32" s="43" t="str">
        <f aca="false">'Field Tracker'!C32</f>
        <v>Register</v>
      </c>
      <c r="D32" s="43" t="str">
        <f aca="false">'Field Tracker'!D32</f>
        <v>When to use Hejazi dialect</v>
      </c>
      <c r="E32" s="43" t="n">
        <f aca="false">'Field Tracker'!I32</f>
        <v>0</v>
      </c>
      <c r="F32" s="44" t="str">
        <f aca="false">'Field Tracker'!E32</f>
        <v>Not Started</v>
      </c>
    </row>
    <row r="33" customFormat="false" ht="15" hidden="false" customHeight="false" outlineLevel="0" collapsed="false">
      <c r="A33" s="42" t="n">
        <f aca="false">'Field Tracker'!A33</f>
        <v>29</v>
      </c>
      <c r="B33" s="43" t="str">
        <f aca="false">'Field Tracker'!B33</f>
        <v>Ohoud</v>
      </c>
      <c r="C33" s="43" t="str">
        <f aca="false">'Field Tracker'!C33</f>
        <v>Register</v>
      </c>
      <c r="D33" s="43" t="str">
        <f aca="false">'Field Tracker'!D33</f>
        <v>When to mix Arabic and English / when no Arabic</v>
      </c>
      <c r="E33" s="43" t="n">
        <f aca="false">'Field Tracker'!I33</f>
        <v>0</v>
      </c>
      <c r="F33" s="44" t="str">
        <f aca="false">'Field Tracker'!E33</f>
        <v>Not Started</v>
      </c>
    </row>
    <row r="34" customFormat="false" ht="15" hidden="false" customHeight="false" outlineLevel="0" collapsed="false">
      <c r="A34" s="42" t="n">
        <f aca="false">'Field Tracker'!A34</f>
        <v>30</v>
      </c>
      <c r="B34" s="43" t="str">
        <f aca="false">'Field Tracker'!B34</f>
        <v>Ohoud</v>
      </c>
      <c r="C34" s="43" t="str">
        <f aca="false">'Field Tracker'!C34</f>
        <v>Forbidden</v>
      </c>
      <c r="D34" s="43" t="str">
        <f aca="false">'Field Tracker'!D34</f>
        <v>Translated-sounding phrases to avoid</v>
      </c>
      <c r="E34" s="43" t="n">
        <f aca="false">'Field Tracker'!I34</f>
        <v>0</v>
      </c>
      <c r="F34" s="44" t="str">
        <f aca="false">'Field Tracker'!E34</f>
        <v>Not Started</v>
      </c>
    </row>
    <row r="35" customFormat="false" ht="15" hidden="false" customHeight="false" outlineLevel="0" collapsed="false">
      <c r="A35" s="42" t="n">
        <f aca="false">'Field Tracker'!A35</f>
        <v>31</v>
      </c>
      <c r="B35" s="43" t="str">
        <f aca="false">'Field Tracker'!B35</f>
        <v>Ohoud</v>
      </c>
      <c r="C35" s="43" t="str">
        <f aca="false">'Field Tracker'!C35</f>
        <v>Forbidden</v>
      </c>
      <c r="D35" s="43" t="str">
        <f aca="false">'Field Tracker'!D35</f>
        <v>Levantine drift (sounding Lebanese/Syrian when should be Saudi)</v>
      </c>
      <c r="E35" s="43" t="n">
        <f aca="false">'Field Tracker'!I35</f>
        <v>0</v>
      </c>
      <c r="F35" s="44" t="str">
        <f aca="false">'Field Tracker'!E35</f>
        <v>Not Started</v>
      </c>
    </row>
    <row r="36" customFormat="false" ht="15" hidden="false" customHeight="false" outlineLevel="0" collapsed="false">
      <c r="A36" s="42" t="n">
        <f aca="false">'Field Tracker'!A36</f>
        <v>32</v>
      </c>
      <c r="B36" s="43" t="str">
        <f aca="false">'Field Tracker'!B36</f>
        <v>Ohoud</v>
      </c>
      <c r="C36" s="43" t="str">
        <f aca="false">'Field Tracker'!C36</f>
        <v>Forbidden</v>
      </c>
      <c r="D36" s="43" t="str">
        <f aca="false">'Field Tracker'!D36</f>
        <v>English calques to avoid in Arabic copy</v>
      </c>
      <c r="E36" s="43" t="n">
        <f aca="false">'Field Tracker'!I36</f>
        <v>0</v>
      </c>
      <c r="F36" s="44" t="str">
        <f aca="false">'Field Tracker'!E36</f>
        <v>Not Started</v>
      </c>
    </row>
    <row r="37" customFormat="false" ht="15" hidden="false" customHeight="false" outlineLevel="0" collapsed="false">
      <c r="A37" s="42" t="n">
        <f aca="false">'Field Tracker'!A37</f>
        <v>33</v>
      </c>
      <c r="B37" s="43" t="str">
        <f aca="false">'Field Tracker'!B37</f>
        <v>Ohoud</v>
      </c>
      <c r="C37" s="43" t="str">
        <f aca="false">'Field Tracker'!C37</f>
        <v>Forbidden</v>
      </c>
      <c r="D37" s="43" t="str">
        <f aca="false">'Field Tracker'!D37</f>
        <v>Anglicisms that read as inauthentic</v>
      </c>
      <c r="E37" s="43" t="n">
        <f aca="false">'Field Tracker'!I37</f>
        <v>0</v>
      </c>
      <c r="F37" s="44" t="str">
        <f aca="false">'Field Tracker'!E37</f>
        <v>Not Started</v>
      </c>
    </row>
    <row r="38" customFormat="false" ht="15" hidden="false" customHeight="false" outlineLevel="0" collapsed="false">
      <c r="A38" s="42" t="n">
        <f aca="false">'Field Tracker'!A38</f>
        <v>34</v>
      </c>
      <c r="B38" s="43" t="str">
        <f aca="false">'Field Tracker'!B38</f>
        <v>Ohoud</v>
      </c>
      <c r="C38" s="43" t="str">
        <f aca="false">'Field Tracker'!C38</f>
        <v>Forbidden</v>
      </c>
      <c r="D38" s="43" t="str">
        <f aca="false">'Field Tracker'!D38</f>
        <v>Religious-overuse phrases (heavy-handed invocations)</v>
      </c>
      <c r="E38" s="43" t="n">
        <f aca="false">'Field Tracker'!I38</f>
        <v>0</v>
      </c>
      <c r="F38" s="44" t="str">
        <f aca="false">'Field Tracker'!E38</f>
        <v>Not Started</v>
      </c>
    </row>
    <row r="39" customFormat="false" ht="15" hidden="false" customHeight="false" outlineLevel="0" collapsed="false">
      <c r="A39" s="42" t="n">
        <f aca="false">'Field Tracker'!A39</f>
        <v>35</v>
      </c>
      <c r="B39" s="43" t="str">
        <f aca="false">'Field Tracker'!B39</f>
        <v>Ohoud</v>
      </c>
      <c r="C39" s="43" t="str">
        <f aca="false">'Field Tracker'!C39</f>
        <v>Occasions</v>
      </c>
      <c r="D39" s="43" t="str">
        <f aca="false">'Field Tracker'!D39</f>
        <v>Ramadan language by phase (early, middle, last 10)</v>
      </c>
      <c r="E39" s="43" t="n">
        <f aca="false">'Field Tracker'!I39</f>
        <v>0</v>
      </c>
      <c r="F39" s="44" t="str">
        <f aca="false">'Field Tracker'!E39</f>
        <v>Not Started</v>
      </c>
    </row>
    <row r="40" customFormat="false" ht="15" hidden="false" customHeight="false" outlineLevel="0" collapsed="false">
      <c r="A40" s="42" t="n">
        <f aca="false">'Field Tracker'!A40</f>
        <v>36</v>
      </c>
      <c r="B40" s="43" t="str">
        <f aca="false">'Field Tracker'!B40</f>
        <v>Ohoud</v>
      </c>
      <c r="C40" s="43" t="str">
        <f aca="false">'Field Tracker'!C40</f>
        <v>Occasions</v>
      </c>
      <c r="D40" s="43" t="str">
        <f aca="false">'Field Tracker'!D40</f>
        <v>Eid Al-Fitr vs Eid Al-Adha registers</v>
      </c>
      <c r="E40" s="43" t="n">
        <f aca="false">'Field Tracker'!I40</f>
        <v>0</v>
      </c>
      <c r="F40" s="44" t="str">
        <f aca="false">'Field Tracker'!E40</f>
        <v>Not Started</v>
      </c>
    </row>
    <row r="41" customFormat="false" ht="15" hidden="false" customHeight="false" outlineLevel="0" collapsed="false">
      <c r="A41" s="42" t="n">
        <f aca="false">'Field Tracker'!A41</f>
        <v>37</v>
      </c>
      <c r="B41" s="43" t="str">
        <f aca="false">'Field Tracker'!B41</f>
        <v>Ohoud</v>
      </c>
      <c r="C41" s="43" t="str">
        <f aca="false">'Field Tracker'!C41</f>
        <v>Occasions</v>
      </c>
      <c r="D41" s="43" t="str">
        <f aca="false">'Field Tracker'!D41</f>
        <v>National Day vs Founding Day language</v>
      </c>
      <c r="E41" s="43" t="n">
        <f aca="false">'Field Tracker'!I41</f>
        <v>0</v>
      </c>
      <c r="F41" s="44" t="str">
        <f aca="false">'Field Tracker'!E41</f>
        <v>Not Started</v>
      </c>
    </row>
    <row r="42" customFormat="false" ht="15" hidden="false" customHeight="false" outlineLevel="0" collapsed="false">
      <c r="A42" s="42" t="n">
        <f aca="false">'Field Tracker'!A42</f>
        <v>38</v>
      </c>
      <c r="B42" s="43" t="str">
        <f aca="false">'Field Tracker'!B42</f>
        <v>Ohoud</v>
      </c>
      <c r="C42" s="43" t="str">
        <f aca="false">'Field Tracker'!C42</f>
        <v>Occasions</v>
      </c>
      <c r="D42" s="43" t="str">
        <f aca="false">'Field Tracker'!D42</f>
        <v>Condolence and tragedy registers</v>
      </c>
      <c r="E42" s="43" t="n">
        <f aca="false">'Field Tracker'!I42</f>
        <v>0</v>
      </c>
      <c r="F42" s="44" t="str">
        <f aca="false">'Field Tracker'!E42</f>
        <v>Not Started</v>
      </c>
    </row>
    <row r="43" customFormat="false" ht="15" hidden="false" customHeight="false" outlineLevel="0" collapsed="false">
      <c r="A43" s="42" t="n">
        <f aca="false">'Field Tracker'!A43</f>
        <v>39</v>
      </c>
      <c r="B43" s="43" t="str">
        <f aca="false">'Field Tracker'!B43</f>
        <v>Ohoud</v>
      </c>
      <c r="C43" s="43" t="str">
        <f aca="false">'Field Tracker'!C43</f>
        <v>Occasions</v>
      </c>
      <c r="D43" s="43" t="str">
        <f aca="false">'Field Tracker'!D43</f>
        <v>Celebration and milestone registers</v>
      </c>
      <c r="E43" s="43" t="n">
        <f aca="false">'Field Tracker'!I43</f>
        <v>0</v>
      </c>
      <c r="F43" s="44" t="str">
        <f aca="false">'Field Tracker'!E43</f>
        <v>Not Started</v>
      </c>
    </row>
    <row r="44" customFormat="false" ht="15" hidden="false" customHeight="false" outlineLevel="0" collapsed="false">
      <c r="A44" s="42" t="n">
        <f aca="false">'Field Tracker'!A44</f>
        <v>40</v>
      </c>
      <c r="B44" s="43" t="str">
        <f aca="false">'Field Tracker'!B44</f>
        <v>Ohoud</v>
      </c>
      <c r="C44" s="43" t="str">
        <f aca="false">'Field Tracker'!C44</f>
        <v>Brand voice</v>
      </c>
      <c r="D44" s="43" t="str">
        <f aca="false">'Field Tracker'!D44</f>
        <v>Najdi brand voice — when and how</v>
      </c>
      <c r="E44" s="43" t="n">
        <f aca="false">'Field Tracker'!I44</f>
        <v>0</v>
      </c>
      <c r="F44" s="44" t="str">
        <f aca="false">'Field Tracker'!E44</f>
        <v>Not Started</v>
      </c>
    </row>
    <row r="45" customFormat="false" ht="15" hidden="false" customHeight="false" outlineLevel="0" collapsed="false">
      <c r="A45" s="42" t="n">
        <f aca="false">'Field Tracker'!A45</f>
        <v>41</v>
      </c>
      <c r="B45" s="43" t="str">
        <f aca="false">'Field Tracker'!B45</f>
        <v>Ohoud</v>
      </c>
      <c r="C45" s="43" t="str">
        <f aca="false">'Field Tracker'!C45</f>
        <v>Brand voice</v>
      </c>
      <c r="D45" s="43" t="str">
        <f aca="false">'Field Tracker'!D45</f>
        <v>Hejazi brand voice — when and how</v>
      </c>
      <c r="E45" s="43" t="n">
        <f aca="false">'Field Tracker'!I45</f>
        <v>0</v>
      </c>
      <c r="F45" s="44" t="str">
        <f aca="false">'Field Tracker'!E45</f>
        <v>Not Started</v>
      </c>
    </row>
    <row r="46" customFormat="false" ht="15" hidden="false" customHeight="false" outlineLevel="0" collapsed="false">
      <c r="A46" s="42" t="n">
        <f aca="false">'Field Tracker'!A46</f>
        <v>42</v>
      </c>
      <c r="B46" s="43" t="str">
        <f aca="false">'Field Tracker'!B46</f>
        <v>Ohoud</v>
      </c>
      <c r="C46" s="43" t="str">
        <f aca="false">'Field Tracker'!C46</f>
        <v>Brand voice</v>
      </c>
      <c r="D46" s="43" t="str">
        <f aca="false">'Field Tracker'!D46</f>
        <v>Neutral brand voice — when and how</v>
      </c>
      <c r="E46" s="43" t="n">
        <f aca="false">'Field Tracker'!I46</f>
        <v>0</v>
      </c>
      <c r="F46" s="44" t="str">
        <f aca="false">'Field Tracker'!E46</f>
        <v>Not Started</v>
      </c>
    </row>
    <row r="47" customFormat="false" ht="15" hidden="false" customHeight="false" outlineLevel="0" collapsed="false">
      <c r="A47" s="42" t="n">
        <f aca="false">'Field Tracker'!A47</f>
        <v>43</v>
      </c>
      <c r="B47" s="43" t="str">
        <f aca="false">'Field Tracker'!B47</f>
        <v>Ohoud</v>
      </c>
      <c r="C47" s="43" t="str">
        <f aca="false">'Field Tracker'!C47</f>
        <v>Dialect</v>
      </c>
      <c r="D47" s="43" t="str">
        <f aca="false">'Field Tracker'!D47</f>
        <v>Najdi vs Hejazi vocabulary differences</v>
      </c>
      <c r="E47" s="43" t="n">
        <f aca="false">'Field Tracker'!I47</f>
        <v>0</v>
      </c>
      <c r="F47" s="44" t="str">
        <f aca="false">'Field Tracker'!E47</f>
        <v>Not Started</v>
      </c>
    </row>
    <row r="48" customFormat="false" ht="15" hidden="false" customHeight="false" outlineLevel="0" collapsed="false">
      <c r="A48" s="42" t="n">
        <f aca="false">'Field Tracker'!A48</f>
        <v>44</v>
      </c>
      <c r="B48" s="43" t="str">
        <f aca="false">'Field Tracker'!B48</f>
        <v>Ohoud</v>
      </c>
      <c r="C48" s="43" t="str">
        <f aca="false">'Field Tracker'!C48</f>
        <v>Dialect</v>
      </c>
      <c r="D48" s="43" t="str">
        <f aca="false">'Field Tracker'!D48</f>
        <v>Eastern dialect — brand-relevant specifics</v>
      </c>
      <c r="E48" s="43" t="n">
        <f aca="false">'Field Tracker'!I48</f>
        <v>0</v>
      </c>
      <c r="F48" s="44" t="str">
        <f aca="false">'Field Tracker'!E48</f>
        <v>Not Started</v>
      </c>
    </row>
    <row r="49" customFormat="false" ht="15" hidden="false" customHeight="false" outlineLevel="0" collapsed="false">
      <c r="A49" s="42" t="n">
        <f aca="false">'Field Tracker'!A49</f>
        <v>45</v>
      </c>
      <c r="B49" s="43" t="str">
        <f aca="false">'Field Tracker'!B49</f>
        <v>Ohoud</v>
      </c>
      <c r="C49" s="43" t="str">
        <f aca="false">'Field Tracker'!C49</f>
        <v>Dialect</v>
      </c>
      <c r="D49" s="43" t="str">
        <f aca="false">'Field Tracker'!D49</f>
        <v>Southern dialect — brand-relevant specifics</v>
      </c>
      <c r="E49" s="43" t="n">
        <f aca="false">'Field Tracker'!I49</f>
        <v>0</v>
      </c>
      <c r="F49" s="44" t="str">
        <f aca="false">'Field Tracker'!E49</f>
        <v>Not Started</v>
      </c>
    </row>
    <row r="50" customFormat="false" ht="15" hidden="false" customHeight="false" outlineLevel="0" collapsed="false">
      <c r="A50" s="42" t="n">
        <f aca="false">'Field Tracker'!A50</f>
        <v>46</v>
      </c>
      <c r="B50" s="43" t="str">
        <f aca="false">'Field Tracker'!B50</f>
        <v>Ohoud</v>
      </c>
      <c r="C50" s="43" t="str">
        <f aca="false">'Field Tracker'!C50</f>
        <v>Dialect</v>
      </c>
      <c r="D50" s="43" t="str">
        <f aca="false">'Field Tracker'!D50</f>
        <v>Cross-dialect vocabulary with brand implications</v>
      </c>
      <c r="E50" s="43" t="n">
        <f aca="false">'Field Tracker'!I50</f>
        <v>0</v>
      </c>
      <c r="F50" s="44" t="str">
        <f aca="false">'Field Tracker'!E50</f>
        <v>Not Started</v>
      </c>
    </row>
    <row r="51" customFormat="false" ht="15" hidden="false" customHeight="false" outlineLevel="0" collapsed="false">
      <c r="A51" s="42" t="n">
        <f aca="false">'Field Tracker'!A51</f>
        <v>47</v>
      </c>
      <c r="B51" s="43" t="str">
        <f aca="false">'Field Tracker'!B51</f>
        <v>Ohoud</v>
      </c>
      <c r="C51" s="43" t="str">
        <f aca="false">'Field Tracker'!C51</f>
        <v>Religious</v>
      </c>
      <c r="D51" s="43" t="str">
        <f aca="false">'Field Tracker'!D51</f>
        <v>Quranic reference handling with reverence</v>
      </c>
      <c r="E51" s="43" t="n">
        <f aca="false">'Field Tracker'!I51</f>
        <v>0</v>
      </c>
      <c r="F51" s="44" t="str">
        <f aca="false">'Field Tracker'!E51</f>
        <v>Not Started</v>
      </c>
    </row>
    <row r="52" customFormat="false" ht="15" hidden="false" customHeight="false" outlineLevel="0" collapsed="false">
      <c r="A52" s="42" t="n">
        <f aca="false">'Field Tracker'!A52</f>
        <v>48</v>
      </c>
      <c r="B52" s="43" t="str">
        <f aca="false">'Field Tracker'!B52</f>
        <v>Ohoud</v>
      </c>
      <c r="C52" s="43" t="str">
        <f aca="false">'Field Tracker'!C52</f>
        <v>Religious</v>
      </c>
      <c r="D52" s="43" t="str">
        <f aca="false">'Field Tracker'!D52</f>
        <v>Islamic invocation usage (Bismillah, MashaAllah)</v>
      </c>
      <c r="E52" s="43" t="n">
        <f aca="false">'Field Tracker'!I52</f>
        <v>0</v>
      </c>
      <c r="F52" s="44" t="str">
        <f aca="false">'Field Tracker'!E52</f>
        <v>Not Started</v>
      </c>
    </row>
    <row r="53" customFormat="false" ht="15" hidden="false" customHeight="false" outlineLevel="0" collapsed="false">
      <c r="A53" s="42" t="n">
        <f aca="false">'Field Tracker'!A53</f>
        <v>49</v>
      </c>
      <c r="B53" s="43" t="str">
        <f aca="false">'Field Tracker'!B53</f>
        <v>Ohoud</v>
      </c>
      <c r="C53" s="43" t="str">
        <f aca="false">'Field Tracker'!C53</f>
        <v>Forbidden words</v>
      </c>
      <c r="D53" s="43" t="str">
        <f aca="false">'Field Tracker'!D53</f>
        <v>Twitter-drag word list (specific terms to avoid)</v>
      </c>
      <c r="E53" s="43" t="n">
        <f aca="false">'Field Tracker'!I53</f>
        <v>0</v>
      </c>
      <c r="F53" s="44" t="str">
        <f aca="false">'Field Tracker'!E53</f>
        <v>Not Started</v>
      </c>
    </row>
    <row r="54" customFormat="false" ht="15" hidden="false" customHeight="false" outlineLevel="0" collapsed="false">
      <c r="A54" s="42" t="n">
        <f aca="false">'Field Tracker'!A54</f>
        <v>50</v>
      </c>
      <c r="B54" s="43" t="str">
        <f aca="false">'Field Tracker'!B54</f>
        <v>Ohoud</v>
      </c>
      <c r="C54" s="43" t="str">
        <f aca="false">'Field Tracker'!C54</f>
        <v>Forbidden words</v>
      </c>
      <c r="D54" s="43" t="str">
        <f aca="false">'Field Tracker'!D54</f>
        <v>Politically sensitive terms and avoidance</v>
      </c>
      <c r="E54" s="43" t="n">
        <f aca="false">'Field Tracker'!I54</f>
        <v>0</v>
      </c>
      <c r="F54" s="44" t="str">
        <f aca="false">'Field Tracker'!E54</f>
        <v>Not Started</v>
      </c>
    </row>
    <row r="55" customFormat="false" ht="15" hidden="false" customHeight="false" outlineLevel="0" collapsed="false">
      <c r="A55" s="42" t="n">
        <f aca="false">'Field Tracker'!A55</f>
        <v>51</v>
      </c>
      <c r="B55" s="43" t="str">
        <f aca="false">'Field Tracker'!B55</f>
        <v>Nada</v>
      </c>
      <c r="C55" s="43" t="str">
        <f aca="false">'Field Tracker'!C55</f>
        <v>Egyptian</v>
      </c>
      <c r="D55" s="43" t="str">
        <f aca="false">'Field Tracker'!D55</f>
        <v>Egyptian creative tropes Saudi audiences reject</v>
      </c>
      <c r="E55" s="43" t="n">
        <f aca="false">'Field Tracker'!I55</f>
        <v>0</v>
      </c>
      <c r="F55" s="44" t="str">
        <f aca="false">'Field Tracker'!E55</f>
        <v>Not Started</v>
      </c>
    </row>
    <row r="56" customFormat="false" ht="15" hidden="false" customHeight="false" outlineLevel="0" collapsed="false">
      <c r="A56" s="42" t="n">
        <f aca="false">'Field Tracker'!A56</f>
        <v>52</v>
      </c>
      <c r="B56" s="43" t="str">
        <f aca="false">'Field Tracker'!B56</f>
        <v>Nada</v>
      </c>
      <c r="C56" s="43" t="str">
        <f aca="false">'Field Tracker'!C56</f>
        <v>Levantine</v>
      </c>
      <c r="D56" s="43" t="str">
        <f aca="false">'Field Tracker'!D56</f>
        <v>Levantine creative tropes Saudi audiences reject</v>
      </c>
      <c r="E56" s="43" t="n">
        <f aca="false">'Field Tracker'!I56</f>
        <v>0</v>
      </c>
      <c r="F56" s="44" t="str">
        <f aca="false">'Field Tracker'!E56</f>
        <v>Not Started</v>
      </c>
    </row>
    <row r="57" customFormat="false" ht="15" hidden="false" customHeight="false" outlineLevel="0" collapsed="false">
      <c r="A57" s="42" t="n">
        <f aca="false">'Field Tracker'!A57</f>
        <v>53</v>
      </c>
      <c r="B57" s="43" t="str">
        <f aca="false">'Field Tracker'!B57</f>
        <v>Nada</v>
      </c>
      <c r="C57" s="43" t="str">
        <f aca="false">'Field Tracker'!C57</f>
        <v>Gulf shared</v>
      </c>
      <c r="D57" s="43" t="str">
        <f aca="false">'Field Tracker'!D57</f>
        <v>Pan-Gulf conventions vs. specifically Saudi</v>
      </c>
      <c r="E57" s="43" t="n">
        <f aca="false">'Field Tracker'!I57</f>
        <v>0</v>
      </c>
      <c r="F57" s="44" t="str">
        <f aca="false">'Field Tracker'!E57</f>
        <v>Not Started</v>
      </c>
    </row>
    <row r="58" customFormat="false" ht="15" hidden="false" customHeight="false" outlineLevel="0" collapsed="false">
      <c r="A58" s="42" t="n">
        <f aca="false">'Field Tracker'!A58</f>
        <v>54</v>
      </c>
      <c r="B58" s="43" t="str">
        <f aca="false">'Field Tracker'!B58</f>
        <v>Nada</v>
      </c>
      <c r="C58" s="43" t="str">
        <f aca="false">'Field Tracker'!C58</f>
        <v>Humor</v>
      </c>
      <c r="D58" s="43" t="str">
        <f aca="false">'Field Tracker'!D58</f>
        <v>Pan-Arab humor that doesn't land in Saudi</v>
      </c>
      <c r="E58" s="43" t="n">
        <f aca="false">'Field Tracker'!I58</f>
        <v>0</v>
      </c>
      <c r="F58" s="44" t="str">
        <f aca="false">'Field Tracker'!E58</f>
        <v>Not Started</v>
      </c>
    </row>
    <row r="59" customFormat="false" ht="15" hidden="false" customHeight="false" outlineLevel="0" collapsed="false">
      <c r="A59" s="42" t="n">
        <f aca="false">'Field Tracker'!A59</f>
        <v>55</v>
      </c>
      <c r="B59" s="43" t="str">
        <f aca="false">'Field Tracker'!B59</f>
        <v>Nada</v>
      </c>
      <c r="C59" s="43" t="str">
        <f aca="false">'Field Tracker'!C59</f>
        <v>Gender</v>
      </c>
      <c r="D59" s="43" t="str">
        <f aca="false">'Field Tracker'!D59</f>
        <v>Gender representation: Saudi vs. UAE</v>
      </c>
      <c r="E59" s="43" t="n">
        <f aca="false">'Field Tracker'!I59</f>
        <v>0</v>
      </c>
      <c r="F59" s="44" t="str">
        <f aca="false">'Field Tracker'!E59</f>
        <v>Not Started</v>
      </c>
    </row>
    <row r="60" customFormat="false" ht="15" hidden="false" customHeight="false" outlineLevel="0" collapsed="false">
      <c r="A60" s="42" t="n">
        <f aca="false">'Field Tracker'!A60</f>
        <v>56</v>
      </c>
      <c r="B60" s="43" t="str">
        <f aca="false">'Field Tracker'!B60</f>
        <v>Nada</v>
      </c>
      <c r="C60" s="43" t="str">
        <f aca="false">'Field Tracker'!C60</f>
        <v>Gender</v>
      </c>
      <c r="D60" s="43" t="str">
        <f aca="false">'Field Tracker'!D60</f>
        <v>Gender representation: Saudi vs. Egypt</v>
      </c>
      <c r="E60" s="43" t="n">
        <f aca="false">'Field Tracker'!I60</f>
        <v>0</v>
      </c>
      <c r="F60" s="44" t="str">
        <f aca="false">'Field Tracker'!E60</f>
        <v>Not Started</v>
      </c>
    </row>
    <row r="61" customFormat="false" ht="15" hidden="false" customHeight="false" outlineLevel="0" collapsed="false">
      <c r="A61" s="42" t="n">
        <f aca="false">'Field Tracker'!A61</f>
        <v>57</v>
      </c>
      <c r="B61" s="43" t="str">
        <f aca="false">'Field Tracker'!B61</f>
        <v>Nada</v>
      </c>
      <c r="C61" s="43" t="str">
        <f aca="false">'Field Tracker'!C61</f>
        <v>Gender</v>
      </c>
      <c r="D61" s="43" t="str">
        <f aca="false">'Field Tracker'!D61</f>
        <v>Gender representation: Saudi vs. Lebanon</v>
      </c>
      <c r="E61" s="43" t="n">
        <f aca="false">'Field Tracker'!I61</f>
        <v>0</v>
      </c>
      <c r="F61" s="44" t="str">
        <f aca="false">'Field Tracker'!E61</f>
        <v>Not Started</v>
      </c>
    </row>
    <row r="62" customFormat="false" ht="15" hidden="false" customHeight="false" outlineLevel="0" collapsed="false">
      <c r="A62" s="42" t="n">
        <f aca="false">'Field Tracker'!A62</f>
        <v>58</v>
      </c>
      <c r="B62" s="43" t="str">
        <f aca="false">'Field Tracker'!B62</f>
        <v>Nada</v>
      </c>
      <c r="C62" s="43" t="str">
        <f aca="false">'Field Tracker'!C62</f>
        <v>Audio</v>
      </c>
      <c r="D62" s="43" t="str">
        <f aca="false">'Field Tracker'!D62</f>
        <v>Music conventions: Saudi vs. pan-Arab</v>
      </c>
      <c r="E62" s="43" t="n">
        <f aca="false">'Field Tracker'!I62</f>
        <v>0</v>
      </c>
      <c r="F62" s="44" t="str">
        <f aca="false">'Field Tracker'!E62</f>
        <v>Not Started</v>
      </c>
    </row>
    <row r="63" customFormat="false" ht="15" hidden="false" customHeight="false" outlineLevel="0" collapsed="false">
      <c r="A63" s="42" t="n">
        <f aca="false">'Field Tracker'!A63</f>
        <v>59</v>
      </c>
      <c r="B63" s="43" t="str">
        <f aca="false">'Field Tracker'!B63</f>
        <v>Nada</v>
      </c>
      <c r="C63" s="43" t="str">
        <f aca="false">'Field Tracker'!C63</f>
        <v>Audio</v>
      </c>
      <c r="D63" s="43" t="str">
        <f aca="false">'Field Tracker'!D63</f>
        <v>Audio/voiceover register choices</v>
      </c>
      <c r="E63" s="43" t="n">
        <f aca="false">'Field Tracker'!I63</f>
        <v>0</v>
      </c>
      <c r="F63" s="44" t="str">
        <f aca="false">'Field Tracker'!E63</f>
        <v>Not Started</v>
      </c>
    </row>
    <row r="64" customFormat="false" ht="15" hidden="false" customHeight="false" outlineLevel="0" collapsed="false">
      <c r="A64" s="42" t="n">
        <f aca="false">'Field Tracker'!A64</f>
        <v>60</v>
      </c>
      <c r="B64" s="43" t="str">
        <f aca="false">'Field Tracker'!B64</f>
        <v>Nada</v>
      </c>
      <c r="C64" s="43" t="str">
        <f aca="false">'Field Tracker'!C64</f>
        <v>Western tropes</v>
      </c>
      <c r="D64" s="43" t="str">
        <f aca="false">'Field Tracker'!D64</f>
        <v>Imported Western tropes saturated in MENA</v>
      </c>
      <c r="E64" s="43" t="n">
        <f aca="false">'Field Tracker'!I64</f>
        <v>0</v>
      </c>
      <c r="F64" s="44" t="str">
        <f aca="false">'Field Tracker'!E64</f>
        <v>Not Started</v>
      </c>
    </row>
    <row r="65" customFormat="false" ht="15" hidden="false" customHeight="false" outlineLevel="0" collapsed="false">
      <c r="A65" s="42" t="n">
        <f aca="false">'Field Tracker'!A65</f>
        <v>61</v>
      </c>
      <c r="B65" s="43" t="str">
        <f aca="false">'Field Tracker'!B65</f>
        <v>Nada</v>
      </c>
      <c r="C65" s="43" t="str">
        <f aca="false">'Field Tracker'!C65</f>
        <v>Representation</v>
      </c>
      <c r="D65" s="43" t="str">
        <f aca="false">'Field Tracker'!D65</f>
        <v>Romance and intimacy representation across MENA</v>
      </c>
      <c r="E65" s="43" t="n">
        <f aca="false">'Field Tracker'!I65</f>
        <v>0</v>
      </c>
      <c r="F65" s="44" t="str">
        <f aca="false">'Field Tracker'!E65</f>
        <v>Not Started</v>
      </c>
    </row>
    <row r="66" customFormat="false" ht="15" hidden="false" customHeight="false" outlineLevel="0" collapsed="false">
      <c r="A66" s="42" t="n">
        <f aca="false">'Field Tracker'!A66</f>
        <v>62</v>
      </c>
      <c r="B66" s="43" t="str">
        <f aca="false">'Field Tracker'!B66</f>
        <v>Nada</v>
      </c>
      <c r="C66" s="43" t="str">
        <f aca="false">'Field Tracker'!C66</f>
        <v>Representation</v>
      </c>
      <c r="D66" s="43" t="str">
        <f aca="false">'Field Tracker'!D66</f>
        <v>Family representation across MENA</v>
      </c>
      <c r="E66" s="43" t="n">
        <f aca="false">'Field Tracker'!I66</f>
        <v>0</v>
      </c>
      <c r="F66" s="44" t="str">
        <f aca="false">'Field Tracker'!E66</f>
        <v>Not Started</v>
      </c>
    </row>
    <row r="67" customFormat="false" ht="15" hidden="false" customHeight="false" outlineLevel="0" collapsed="false">
      <c r="A67" s="42" t="n">
        <f aca="false">'Field Tracker'!A67</f>
        <v>63</v>
      </c>
      <c r="B67" s="43" t="str">
        <f aca="false">'Field Tracker'!B67</f>
        <v>Nada</v>
      </c>
      <c r="C67" s="43" t="str">
        <f aca="false">'Field Tracker'!C67</f>
        <v>Representation</v>
      </c>
      <c r="D67" s="43" t="str">
        <f aca="false">'Field Tracker'!D67</f>
        <v>Comedy conventions across MENA</v>
      </c>
      <c r="E67" s="43" t="n">
        <f aca="false">'Field Tracker'!I67</f>
        <v>0</v>
      </c>
      <c r="F67" s="44" t="str">
        <f aca="false">'Field Tracker'!E67</f>
        <v>Not Started</v>
      </c>
    </row>
    <row r="68" customFormat="false" ht="15" hidden="false" customHeight="false" outlineLevel="0" collapsed="false">
      <c r="A68" s="42" t="n">
        <f aca="false">'Field Tracker'!A68</f>
        <v>64</v>
      </c>
      <c r="B68" s="43" t="str">
        <f aca="false">'Field Tracker'!B68</f>
        <v>Nada</v>
      </c>
      <c r="C68" s="43" t="str">
        <f aca="false">'Field Tracker'!C68</f>
        <v>Representation</v>
      </c>
      <c r="D68" s="43" t="str">
        <f aca="false">'Field Tracker'!D68</f>
        <v>Authority figure representation</v>
      </c>
      <c r="E68" s="43" t="n">
        <f aca="false">'Field Tracker'!I68</f>
        <v>0</v>
      </c>
      <c r="F68" s="44" t="str">
        <f aca="false">'Field Tracker'!E68</f>
        <v>Not Started</v>
      </c>
    </row>
    <row r="69" customFormat="false" ht="15" hidden="false" customHeight="false" outlineLevel="0" collapsed="false">
      <c r="A69" s="42" t="n">
        <f aca="false">'Field Tracker'!A69</f>
        <v>65</v>
      </c>
      <c r="B69" s="43" t="str">
        <f aca="false">'Field Tracker'!B69</f>
        <v>Nada</v>
      </c>
      <c r="C69" s="43" t="str">
        <f aca="false">'Field Tracker'!C69</f>
        <v>Representation</v>
      </c>
      <c r="D69" s="43" t="str">
        <f aca="false">'Field Tracker'!D69</f>
        <v>Youth and Gen-Z representation</v>
      </c>
      <c r="E69" s="43" t="n">
        <f aca="false">'Field Tracker'!I69</f>
        <v>0</v>
      </c>
      <c r="F69" s="44" t="str">
        <f aca="false">'Field Tracker'!E69</f>
        <v>Not Started</v>
      </c>
    </row>
    <row r="70" customFormat="false" ht="15" hidden="false" customHeight="false" outlineLevel="0" collapsed="false">
      <c r="A70" s="42" t="n">
        <f aca="false">'Field Tracker'!A70</f>
        <v>66</v>
      </c>
      <c r="B70" s="43" t="str">
        <f aca="false">'Field Tracker'!B70</f>
        <v>Kamal</v>
      </c>
      <c r="C70" s="43" t="str">
        <f aca="false">'Field Tracker'!C70</f>
        <v>Aesthetics</v>
      </c>
      <c r="D70" s="43" t="str">
        <f aca="false">'Field Tracker'!D70</f>
        <v>Visual aesthetics: Saudi vs. UAE premium</v>
      </c>
      <c r="E70" s="43" t="n">
        <f aca="false">'Field Tracker'!I70</f>
        <v>0</v>
      </c>
      <c r="F70" s="44" t="str">
        <f aca="false">'Field Tracker'!E70</f>
        <v>Not Started</v>
      </c>
    </row>
    <row r="71" customFormat="false" ht="15" hidden="false" customHeight="false" outlineLevel="0" collapsed="false">
      <c r="A71" s="42" t="n">
        <f aca="false">'Field Tracker'!A71</f>
        <v>67</v>
      </c>
      <c r="B71" s="43" t="str">
        <f aca="false">'Field Tracker'!B71</f>
        <v>Kamal</v>
      </c>
      <c r="C71" s="43" t="str">
        <f aca="false">'Field Tracker'!C71</f>
        <v>Aesthetics</v>
      </c>
      <c r="D71" s="43" t="str">
        <f aca="false">'Field Tracker'!D71</f>
        <v>Visual aesthetics: Saudi vs. Egypt</v>
      </c>
      <c r="E71" s="43" t="n">
        <f aca="false">'Field Tracker'!I71</f>
        <v>0</v>
      </c>
      <c r="F71" s="44" t="str">
        <f aca="false">'Field Tracker'!E71</f>
        <v>Not Started</v>
      </c>
    </row>
    <row r="72" customFormat="false" ht="15" hidden="false" customHeight="false" outlineLevel="0" collapsed="false">
      <c r="A72" s="42" t="n">
        <f aca="false">'Field Tracker'!A72</f>
        <v>68</v>
      </c>
      <c r="B72" s="43" t="str">
        <f aca="false">'Field Tracker'!B72</f>
        <v>Kamal</v>
      </c>
      <c r="C72" s="43" t="str">
        <f aca="false">'Field Tracker'!C72</f>
        <v>Color</v>
      </c>
      <c r="D72" s="43" t="str">
        <f aca="false">'Field Tracker'!D72</f>
        <v>Color associations and connotations in Saudi context</v>
      </c>
      <c r="E72" s="43" t="n">
        <f aca="false">'Field Tracker'!I72</f>
        <v>0</v>
      </c>
      <c r="F72" s="44" t="str">
        <f aca="false">'Field Tracker'!E72</f>
        <v>Not Started</v>
      </c>
    </row>
    <row r="73" customFormat="false" ht="15" hidden="false" customHeight="false" outlineLevel="0" collapsed="false">
      <c r="A73" s="42" t="n">
        <f aca="false">'Field Tracker'!A73</f>
        <v>69</v>
      </c>
      <c r="B73" s="43" t="str">
        <f aca="false">'Field Tracker'!B73</f>
        <v>Kamal</v>
      </c>
      <c r="C73" s="43" t="str">
        <f aca="false">'Field Tracker'!C73</f>
        <v>Storytelling</v>
      </c>
      <c r="D73" s="43" t="str">
        <f aca="false">'Field Tracker'!D73</f>
        <v>Storytelling arc preferences — pacing and beats</v>
      </c>
      <c r="E73" s="43" t="n">
        <f aca="false">'Field Tracker'!I73</f>
        <v>0</v>
      </c>
      <c r="F73" s="44" t="str">
        <f aca="false">'Field Tracker'!E73</f>
        <v>Not Started</v>
      </c>
    </row>
    <row r="74" customFormat="false" ht="15" hidden="false" customHeight="false" outlineLevel="0" collapsed="false">
      <c r="A74" s="42" t="n">
        <f aca="false">'Field Tracker'!A74</f>
        <v>70</v>
      </c>
      <c r="B74" s="43" t="str">
        <f aca="false">'Field Tracker'!B74</f>
        <v>Kamal</v>
      </c>
      <c r="C74" s="43" t="str">
        <f aca="false">'Field Tracker'!C74</f>
        <v>Reference</v>
      </c>
      <c r="D74" s="43" t="str">
        <f aca="false">'Field Tracker'!D74</f>
        <v>Cultural reference layering — sophisticated vs. trying-too-hard</v>
      </c>
      <c r="E74" s="43" t="n">
        <f aca="false">'Field Tracker'!I74</f>
        <v>0</v>
      </c>
      <c r="F74" s="44" t="str">
        <f aca="false">'Field Tracker'!E74</f>
        <v>Not Started</v>
      </c>
    </row>
    <row r="75" customFormat="false" ht="15" hidden="false" customHeight="false" outlineLevel="0" collapsed="false">
      <c r="A75" s="42" t="n">
        <f aca="false">'Field Tracker'!A75</f>
        <v>71</v>
      </c>
      <c r="B75" s="43" t="str">
        <f aca="false">'Field Tracker'!B75</f>
        <v>Kamal</v>
      </c>
      <c r="C75" s="43" t="str">
        <f aca="false">'Field Tracker'!C75</f>
        <v>Archetypes</v>
      </c>
      <c r="D75" s="43" t="str">
        <f aca="false">'Field Tracker'!D75</f>
        <v>12 archetypes — Saudi calibration overview</v>
      </c>
      <c r="E75" s="43" t="n">
        <f aca="false">'Field Tracker'!I75</f>
        <v>0</v>
      </c>
      <c r="F75" s="44" t="str">
        <f aca="false">'Field Tracker'!E75</f>
        <v>Not Started</v>
      </c>
    </row>
    <row r="76" customFormat="false" ht="15" hidden="false" customHeight="false" outlineLevel="0" collapsed="false">
      <c r="A76" s="42" t="n">
        <f aca="false">'Field Tracker'!A76</f>
        <v>72</v>
      </c>
      <c r="B76" s="43" t="str">
        <f aca="false">'Field Tracker'!B76</f>
        <v>Kamal</v>
      </c>
      <c r="C76" s="43" t="str">
        <f aca="false">'Field Tracker'!C76</f>
        <v>Archetypes</v>
      </c>
      <c r="D76" s="43" t="str">
        <f aca="false">'Field Tracker'!D76</f>
        <v>Hero archetype in Saudi context</v>
      </c>
      <c r="E76" s="43" t="n">
        <f aca="false">'Field Tracker'!I76</f>
        <v>0</v>
      </c>
      <c r="F76" s="44" t="str">
        <f aca="false">'Field Tracker'!E76</f>
        <v>Not Started</v>
      </c>
    </row>
    <row r="77" customFormat="false" ht="15" hidden="false" customHeight="false" outlineLevel="0" collapsed="false">
      <c r="A77" s="42" t="n">
        <f aca="false">'Field Tracker'!A77</f>
        <v>73</v>
      </c>
      <c r="B77" s="43" t="str">
        <f aca="false">'Field Tracker'!B77</f>
        <v>Kamal</v>
      </c>
      <c r="C77" s="43" t="str">
        <f aca="false">'Field Tracker'!C77</f>
        <v>Archetypes</v>
      </c>
      <c r="D77" s="43" t="str">
        <f aca="false">'Field Tracker'!D77</f>
        <v>Sage archetype in Saudi context</v>
      </c>
      <c r="E77" s="43" t="n">
        <f aca="false">'Field Tracker'!I77</f>
        <v>0</v>
      </c>
      <c r="F77" s="44" t="str">
        <f aca="false">'Field Tracker'!E77</f>
        <v>Not Started</v>
      </c>
    </row>
    <row r="78" customFormat="false" ht="15" hidden="false" customHeight="false" outlineLevel="0" collapsed="false">
      <c r="A78" s="42" t="n">
        <f aca="false">'Field Tracker'!A78</f>
        <v>74</v>
      </c>
      <c r="B78" s="43" t="str">
        <f aca="false">'Field Tracker'!B78</f>
        <v>Kamal</v>
      </c>
      <c r="C78" s="43" t="str">
        <f aca="false">'Field Tracker'!C78</f>
        <v>Archetypes</v>
      </c>
      <c r="D78" s="43" t="str">
        <f aca="false">'Field Tracker'!D78</f>
        <v>Lover archetype in Saudi context (sensitive)</v>
      </c>
      <c r="E78" s="43" t="n">
        <f aca="false">'Field Tracker'!I78</f>
        <v>0</v>
      </c>
      <c r="F78" s="44" t="str">
        <f aca="false">'Field Tracker'!E78</f>
        <v>Not Started</v>
      </c>
    </row>
    <row r="79" customFormat="false" ht="15" hidden="false" customHeight="false" outlineLevel="0" collapsed="false">
      <c r="A79" s="42" t="n">
        <f aca="false">'Field Tracker'!A79</f>
        <v>75</v>
      </c>
      <c r="B79" s="43" t="str">
        <f aca="false">'Field Tracker'!B79</f>
        <v>Kamal</v>
      </c>
      <c r="C79" s="43" t="str">
        <f aca="false">'Field Tracker'!C79</f>
        <v>Archetypes</v>
      </c>
      <c r="D79" s="43" t="str">
        <f aca="false">'Field Tracker'!D79</f>
        <v>Outlaw / Rebel archetype in Saudi context (sensitive)</v>
      </c>
      <c r="E79" s="43" t="n">
        <f aca="false">'Field Tracker'!I79</f>
        <v>0</v>
      </c>
      <c r="F79" s="44" t="str">
        <f aca="false">'Field Tracker'!E79</f>
        <v>Not Started</v>
      </c>
    </row>
    <row r="80" customFormat="false" ht="15" hidden="false" customHeight="false" outlineLevel="0" collapsed="false">
      <c r="A80" s="42" t="n">
        <f aca="false">'Field Tracker'!A80</f>
        <v>76</v>
      </c>
      <c r="B80" s="43" t="str">
        <f aca="false">'Field Tracker'!B80</f>
        <v>Kamal</v>
      </c>
      <c r="C80" s="43" t="str">
        <f aca="false">'Field Tracker'!C80</f>
        <v>Pacing</v>
      </c>
      <c r="D80" s="43" t="str">
        <f aca="false">'Field Tracker'!D80</f>
        <v>Resolution vs. ambiguity preferences</v>
      </c>
      <c r="E80" s="43" t="n">
        <f aca="false">'Field Tracker'!I80</f>
        <v>0</v>
      </c>
      <c r="F80" s="44" t="str">
        <f aca="false">'Field Tracker'!E80</f>
        <v>Not Started</v>
      </c>
    </row>
    <row r="81" customFormat="false" ht="15" hidden="false" customHeight="false" outlineLevel="0" collapsed="false">
      <c r="A81" s="42" t="n">
        <f aca="false">'Field Tracker'!A81</f>
        <v>77</v>
      </c>
      <c r="B81" s="43" t="str">
        <f aca="false">'Field Tracker'!B81</f>
        <v>Kamal</v>
      </c>
      <c r="C81" s="43" t="str">
        <f aca="false">'Field Tracker'!C81</f>
        <v>Pacing</v>
      </c>
      <c r="D81" s="43" t="str">
        <f aca="false">'Field Tracker'!D81</f>
        <v>Edit pacing for short-form vs. long-form</v>
      </c>
      <c r="E81" s="43" t="n">
        <f aca="false">'Field Tracker'!I81</f>
        <v>0</v>
      </c>
      <c r="F81" s="44" t="str">
        <f aca="false">'Field Tracker'!E81</f>
        <v>Not Started</v>
      </c>
    </row>
    <row r="82" customFormat="false" ht="15" hidden="false" customHeight="false" outlineLevel="0" collapsed="false">
      <c r="A82" s="42" t="n">
        <f aca="false">'Field Tracker'!A82</f>
        <v>78</v>
      </c>
      <c r="B82" s="43" t="str">
        <f aca="false">'Field Tracker'!B82</f>
        <v>Kamal</v>
      </c>
      <c r="C82" s="43" t="str">
        <f aca="false">'Field Tracker'!C82</f>
        <v>Premium</v>
      </c>
      <c r="D82" s="43" t="str">
        <f aca="false">'Field Tracker'!D82</f>
        <v>Premium markers across MENA</v>
      </c>
      <c r="E82" s="43" t="n">
        <f aca="false">'Field Tracker'!I82</f>
        <v>0</v>
      </c>
      <c r="F82" s="44" t="str">
        <f aca="false">'Field Tracker'!E82</f>
        <v>Not Started</v>
      </c>
    </row>
    <row r="83" customFormat="false" ht="15" hidden="false" customHeight="false" outlineLevel="0" collapsed="false">
      <c r="A83" s="42" t="n">
        <f aca="false">'Field Tracker'!A83</f>
        <v>79</v>
      </c>
      <c r="B83" s="43" t="str">
        <f aca="false">'Field Tracker'!B83</f>
        <v>Kamal</v>
      </c>
      <c r="C83" s="43" t="str">
        <f aca="false">'Field Tracker'!C83</f>
        <v>Premium</v>
      </c>
      <c r="D83" s="43" t="str">
        <f aca="false">'Field Tracker'!D83</f>
        <v>Mid-tier markers across MENA</v>
      </c>
      <c r="E83" s="43" t="n">
        <f aca="false">'Field Tracker'!I83</f>
        <v>0</v>
      </c>
      <c r="F83" s="44" t="str">
        <f aca="false">'Field Tracker'!E83</f>
        <v>Not Started</v>
      </c>
    </row>
    <row r="84" customFormat="false" ht="15" hidden="false" customHeight="false" outlineLevel="0" collapsed="false">
      <c r="A84" s="42" t="n">
        <f aca="false">'Field Tracker'!A84</f>
        <v>80</v>
      </c>
      <c r="B84" s="43" t="str">
        <f aca="false">'Field Tracker'!B84</f>
        <v>Kamal</v>
      </c>
      <c r="C84" s="43" t="str">
        <f aca="false">'Field Tracker'!C84</f>
        <v>Mistakes</v>
      </c>
      <c r="D84" s="43" t="str">
        <f aca="false">'Field Tracker'!D84</f>
        <v>Common Arab agency mistakes in Saudi</v>
      </c>
      <c r="E84" s="43" t="n">
        <f aca="false">'Field Tracker'!I84</f>
        <v>0</v>
      </c>
      <c r="F84" s="44" t="str">
        <f aca="false">'Field Tracker'!E84</f>
        <v>Not Started</v>
      </c>
    </row>
    <row r="86" customFormat="false" ht="21.75" hidden="false" customHeight="true" outlineLevel="0" collapsed="false">
      <c r="A86" s="45" t="s">
        <v>174</v>
      </c>
      <c r="B86" s="45"/>
      <c r="C86" s="45"/>
      <c r="D86" s="45"/>
      <c r="E86" s="45"/>
      <c r="F86" s="45"/>
    </row>
    <row r="87" customFormat="false" ht="15" hidden="false" customHeight="false" outlineLevel="0" collapsed="false">
      <c r="A87" s="45"/>
      <c r="B87" s="45"/>
      <c r="C87" s="45"/>
      <c r="D87" s="45"/>
      <c r="E87" s="45"/>
      <c r="F87" s="45"/>
    </row>
  </sheetData>
  <autoFilter ref="A4:F84"/>
  <mergeCells count="3">
    <mergeCell ref="A1:E1"/>
    <mergeCell ref="A2:E2"/>
    <mergeCell ref="A86:F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</cols>
  <sheetData>
    <row r="1" customFormat="false" ht="31.5" hidden="false" customHeight="true" outlineLevel="0" collapsed="false">
      <c r="A1" s="20" t="s">
        <v>175</v>
      </c>
      <c r="B1" s="20"/>
      <c r="C1" s="20"/>
    </row>
    <row r="2" customFormat="false" ht="21.75" hidden="false" customHeight="true" outlineLevel="0" collapsed="false">
      <c r="A2" s="2" t="s">
        <v>176</v>
      </c>
      <c r="B2" s="2"/>
      <c r="C2" s="2"/>
    </row>
    <row r="4" customFormat="false" ht="25.5" hidden="false" customHeight="true" outlineLevel="0" collapsed="false">
      <c r="A4" s="46" t="s">
        <v>177</v>
      </c>
      <c r="B4" s="46"/>
      <c r="C4" s="46"/>
    </row>
    <row r="5" customFormat="false" ht="30" hidden="false" customHeight="true" outlineLevel="0" collapsed="false">
      <c r="A5" s="47" t="s">
        <v>178</v>
      </c>
      <c r="B5" s="47"/>
      <c r="C5" s="47"/>
    </row>
    <row r="6" customFormat="false" ht="36" hidden="false" customHeight="true" outlineLevel="0" collapsed="false">
      <c r="A6" s="48" t="s">
        <v>179</v>
      </c>
      <c r="B6" s="48"/>
      <c r="C6" s="48"/>
    </row>
    <row r="8" customFormat="false" ht="25.5" hidden="false" customHeight="true" outlineLevel="0" collapsed="false">
      <c r="A8" s="46" t="s">
        <v>180</v>
      </c>
      <c r="B8" s="46"/>
      <c r="C8" s="46"/>
    </row>
    <row r="9" customFormat="false" ht="30" hidden="false" customHeight="true" outlineLevel="0" collapsed="false">
      <c r="A9" s="47" t="s">
        <v>181</v>
      </c>
      <c r="B9" s="47"/>
      <c r="C9" s="47"/>
    </row>
    <row r="10" customFormat="false" ht="39.75" hidden="false" customHeight="true" outlineLevel="0" collapsed="false">
      <c r="A10" s="48" t="s">
        <v>182</v>
      </c>
      <c r="B10" s="48"/>
      <c r="C10" s="48"/>
    </row>
    <row r="12" customFormat="false" ht="25.5" hidden="false" customHeight="true" outlineLevel="0" collapsed="false">
      <c r="A12" s="49" t="s">
        <v>183</v>
      </c>
      <c r="B12" s="49"/>
      <c r="C12" s="49"/>
    </row>
    <row r="13" customFormat="false" ht="36" hidden="false" customHeight="true" outlineLevel="0" collapsed="false">
      <c r="A13" s="50" t="s">
        <v>184</v>
      </c>
      <c r="B13" s="50"/>
      <c r="C13" s="50"/>
    </row>
    <row r="15" customFormat="false" ht="25.5" hidden="false" customHeight="true" outlineLevel="0" collapsed="false">
      <c r="A15" s="51" t="s">
        <v>185</v>
      </c>
      <c r="B15" s="51"/>
      <c r="C15" s="51"/>
    </row>
    <row r="16" customFormat="false" ht="15" hidden="false" customHeight="false" outlineLevel="0" collapsed="false">
      <c r="A16" s="52" t="s">
        <v>186</v>
      </c>
      <c r="B16" s="53" t="s">
        <v>187</v>
      </c>
      <c r="C16" s="53"/>
    </row>
    <row r="17" customFormat="false" ht="15" hidden="false" customHeight="false" outlineLevel="0" collapsed="false">
      <c r="A17" s="52" t="s">
        <v>188</v>
      </c>
      <c r="B17" s="53" t="s">
        <v>189</v>
      </c>
      <c r="C17" s="53"/>
    </row>
    <row r="18" customFormat="false" ht="15" hidden="false" customHeight="false" outlineLevel="0" collapsed="false">
      <c r="A18" s="52" t="s">
        <v>190</v>
      </c>
      <c r="B18" s="53" t="s">
        <v>191</v>
      </c>
      <c r="C18" s="53"/>
    </row>
    <row r="19" customFormat="false" ht="15" hidden="false" customHeight="false" outlineLevel="0" collapsed="false">
      <c r="A19" s="52" t="s">
        <v>192</v>
      </c>
      <c r="B19" s="53" t="s">
        <v>193</v>
      </c>
      <c r="C19" s="53"/>
    </row>
    <row r="20" customFormat="false" ht="15" hidden="false" customHeight="false" outlineLevel="0" collapsed="false">
      <c r="A20" s="52" t="s">
        <v>194</v>
      </c>
      <c r="B20" s="53" t="s">
        <v>195</v>
      </c>
      <c r="C20" s="53"/>
    </row>
    <row r="21" customFormat="false" ht="15" hidden="false" customHeight="false" outlineLevel="0" collapsed="false">
      <c r="A21" s="52" t="s">
        <v>196</v>
      </c>
      <c r="B21" s="53" t="s">
        <v>197</v>
      </c>
      <c r="C21" s="53"/>
    </row>
  </sheetData>
  <mergeCells count="17">
    <mergeCell ref="A1:C1"/>
    <mergeCell ref="A2:C2"/>
    <mergeCell ref="A4:C4"/>
    <mergeCell ref="A5:C5"/>
    <mergeCell ref="A6:C6"/>
    <mergeCell ref="A8:C8"/>
    <mergeCell ref="A9:C9"/>
    <mergeCell ref="A10:C10"/>
    <mergeCell ref="A12:C12"/>
    <mergeCell ref="A13:C13"/>
    <mergeCell ref="A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31.5" hidden="false" customHeight="true" outlineLevel="0" collapsed="false">
      <c r="A1" s="20" t="s">
        <v>198</v>
      </c>
      <c r="B1" s="20"/>
    </row>
    <row r="2" customFormat="false" ht="7.5" hidden="false" customHeight="true" outlineLevel="0" collapsed="false"/>
    <row r="3" customFormat="false" ht="24" hidden="false" customHeight="true" outlineLevel="0" collapsed="false">
      <c r="A3" s="54" t="s">
        <v>199</v>
      </c>
      <c r="B3" s="54"/>
    </row>
    <row r="4" customFormat="false" ht="30" hidden="false" customHeight="true" outlineLevel="0" collapsed="false">
      <c r="A4" s="55" t="s">
        <v>200</v>
      </c>
      <c r="B4" s="56" t="s">
        <v>201</v>
      </c>
    </row>
    <row r="5" customFormat="false" ht="30" hidden="false" customHeight="true" outlineLevel="0" collapsed="false">
      <c r="A5" s="55" t="s">
        <v>202</v>
      </c>
      <c r="B5" s="56" t="s">
        <v>203</v>
      </c>
    </row>
    <row r="6" customFormat="false" ht="30" hidden="false" customHeight="true" outlineLevel="0" collapsed="false">
      <c r="A6" s="55" t="s">
        <v>204</v>
      </c>
      <c r="B6" s="56" t="s">
        <v>205</v>
      </c>
    </row>
    <row r="7" customFormat="false" ht="30" hidden="false" customHeight="true" outlineLevel="0" collapsed="false">
      <c r="A7" s="55" t="s">
        <v>206</v>
      </c>
      <c r="B7" s="56" t="s">
        <v>207</v>
      </c>
    </row>
    <row r="8" customFormat="false" ht="30" hidden="false" customHeight="true" outlineLevel="0" collapsed="false">
      <c r="A8" s="55" t="s">
        <v>208</v>
      </c>
      <c r="B8" s="56" t="s">
        <v>209</v>
      </c>
    </row>
    <row r="9" customFormat="false" ht="7.5" hidden="false" customHeight="true" outlineLevel="0" collapsed="false"/>
    <row r="10" customFormat="false" ht="24" hidden="false" customHeight="true" outlineLevel="0" collapsed="false">
      <c r="A10" s="54" t="s">
        <v>210</v>
      </c>
      <c r="B10" s="54"/>
    </row>
    <row r="11" customFormat="false" ht="30" hidden="false" customHeight="true" outlineLevel="0" collapsed="false">
      <c r="A11" s="55" t="s">
        <v>211</v>
      </c>
      <c r="B11" s="56" t="s">
        <v>212</v>
      </c>
    </row>
    <row r="12" customFormat="false" ht="30" hidden="false" customHeight="true" outlineLevel="0" collapsed="false">
      <c r="A12" s="55" t="s">
        <v>211</v>
      </c>
      <c r="B12" s="56" t="s">
        <v>213</v>
      </c>
    </row>
    <row r="13" customFormat="false" ht="30" hidden="false" customHeight="true" outlineLevel="0" collapsed="false">
      <c r="A13" s="55" t="s">
        <v>211</v>
      </c>
      <c r="B13" s="56" t="s">
        <v>214</v>
      </c>
    </row>
    <row r="14" customFormat="false" ht="30" hidden="false" customHeight="true" outlineLevel="0" collapsed="false">
      <c r="A14" s="55" t="s">
        <v>211</v>
      </c>
      <c r="B14" s="56" t="s">
        <v>215</v>
      </c>
    </row>
    <row r="15" customFormat="false" ht="30" hidden="false" customHeight="true" outlineLevel="0" collapsed="false">
      <c r="A15" s="55" t="s">
        <v>211</v>
      </c>
      <c r="B15" s="56" t="s">
        <v>216</v>
      </c>
    </row>
    <row r="16" customFormat="false" ht="7.5" hidden="false" customHeight="true" outlineLevel="0" collapsed="false"/>
    <row r="17" customFormat="false" ht="24" hidden="false" customHeight="true" outlineLevel="0" collapsed="false">
      <c r="A17" s="54" t="s">
        <v>217</v>
      </c>
      <c r="B17" s="54"/>
    </row>
    <row r="18" customFormat="false" ht="30" hidden="false" customHeight="true" outlineLevel="0" collapsed="false">
      <c r="A18" s="55" t="s">
        <v>218</v>
      </c>
      <c r="B18" s="56" t="s">
        <v>219</v>
      </c>
    </row>
    <row r="19" customFormat="false" ht="30" hidden="false" customHeight="true" outlineLevel="0" collapsed="false">
      <c r="A19" s="55" t="s">
        <v>218</v>
      </c>
      <c r="B19" s="56" t="s">
        <v>220</v>
      </c>
    </row>
    <row r="20" customFormat="false" ht="7.5" hidden="false" customHeight="true" outlineLevel="0" collapsed="false"/>
    <row r="21" customFormat="false" ht="24" hidden="false" customHeight="true" outlineLevel="0" collapsed="false">
      <c r="A21" s="54" t="s">
        <v>221</v>
      </c>
      <c r="B21" s="54"/>
    </row>
    <row r="22" customFormat="false" ht="30" hidden="false" customHeight="true" outlineLevel="0" collapsed="false">
      <c r="A22" s="55" t="s">
        <v>28</v>
      </c>
      <c r="B22" s="56" t="s">
        <v>222</v>
      </c>
    </row>
    <row r="23" customFormat="false" ht="30" hidden="false" customHeight="true" outlineLevel="0" collapsed="false">
      <c r="A23" s="55" t="s">
        <v>29</v>
      </c>
      <c r="B23" s="56" t="s">
        <v>223</v>
      </c>
    </row>
    <row r="24" customFormat="false" ht="30" hidden="false" customHeight="true" outlineLevel="0" collapsed="false">
      <c r="A24" s="55" t="s">
        <v>30</v>
      </c>
      <c r="B24" s="56" t="s">
        <v>224</v>
      </c>
    </row>
    <row r="25" customFormat="false" ht="30" hidden="false" customHeight="true" outlineLevel="0" collapsed="false">
      <c r="A25" s="55" t="s">
        <v>31</v>
      </c>
      <c r="B25" s="56" t="s">
        <v>225</v>
      </c>
    </row>
    <row r="26" customFormat="false" ht="30" hidden="false" customHeight="true" outlineLevel="0" collapsed="false">
      <c r="A26" s="55" t="s">
        <v>32</v>
      </c>
      <c r="B26" s="56" t="s">
        <v>226</v>
      </c>
    </row>
    <row r="27" customFormat="false" ht="30" hidden="false" customHeight="true" outlineLevel="0" collapsed="false">
      <c r="A27" s="55" t="s">
        <v>33</v>
      </c>
      <c r="B27" s="56" t="s">
        <v>227</v>
      </c>
    </row>
    <row r="28" customFormat="false" ht="30" hidden="false" customHeight="true" outlineLevel="0" collapsed="false">
      <c r="A28" s="55" t="s">
        <v>9</v>
      </c>
      <c r="B28" s="56" t="s">
        <v>228</v>
      </c>
    </row>
  </sheetData>
  <mergeCells count="5">
    <mergeCell ref="A1:B1"/>
    <mergeCell ref="A3:B3"/>
    <mergeCell ref="A10:B10"/>
    <mergeCell ref="A17:B17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2026-05-14T11:52:25Z</dcterms:created>
  <dc:creator>openpyxl</dc:creator>
  <dc:description/>
  <dc:language>en-US</dc:language>
  <cp:lastModifiedBy/>
  <dcterms:modified xsi:type="dcterms:W3CDTF">2026-05-14T11:52:25Z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